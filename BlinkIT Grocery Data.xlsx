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0e7486ee6b7194ab/Documents/"/>
    </mc:Choice>
  </mc:AlternateContent>
  <xr:revisionPtr revIDLastSave="1656" documentId="8_{50120DA9-F0D7-4E6B-ACF6-5C3AA9F280E3}" xr6:coauthVersionLast="47" xr6:coauthVersionMax="47" xr10:uidLastSave="{312F3990-8AD4-4E5C-89E2-9371CE5A78D3}"/>
  <bookViews>
    <workbookView minimized="1" xWindow="0" yWindow="504" windowWidth="23256" windowHeight="12456" activeTab="2" xr2:uid="{D9B9CD21-034D-4829-9229-4928AEF5CBEC}"/>
  </bookViews>
  <sheets>
    <sheet name="Sheets Design" sheetId="2" r:id="rId1"/>
    <sheet name="Dashboard" sheetId="3" r:id="rId2"/>
    <sheet name="BlinkIT Grocery Data" sheetId="1" r:id="rId3"/>
  </sheets>
  <definedNames>
    <definedName name="_xlchart.v2.0" hidden="1">'Sheets Design'!$D$71:$D$73</definedName>
    <definedName name="_xlchart.v2.1" hidden="1">'Sheets Design'!$E$70</definedName>
    <definedName name="_xlchart.v2.2" hidden="1">'Sheets Design'!$E$71:$E$73</definedName>
    <definedName name="_xlchart.v2.3" hidden="1">'Sheets Design'!$D$71:$D$73</definedName>
    <definedName name="_xlchart.v2.4" hidden="1">'Sheets Design'!$E$70</definedName>
    <definedName name="_xlchart.v2.5" hidden="1">'Sheets Design'!$E$71:$E$73</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2" i="2" l="1"/>
  <c r="D73" i="2"/>
  <c r="D71" i="2"/>
  <c r="C7" i="2"/>
  <c r="E73" i="2"/>
  <c r="D7" i="2"/>
  <c r="B7" i="2"/>
  <c r="E71" i="2"/>
  <c r="A7" i="2"/>
  <c r="E72" i="2"/>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<sst xmlns="http://schemas.openxmlformats.org/spreadsheetml/2006/main" count="59752" uniqueCount="1632">
  <si>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</si>
  <si>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</si>
  <si>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</si>
  <si>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</si>
  <si>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</si>
  <si>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</si>
  <si>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</si>
  <si>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</si>
  <si>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</si>
  <si>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</si>
  <si>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</si>
  <si>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</si>
  <si>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</si>
  <si>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</si>
  <si>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</si>
  <si>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</si>
  <si>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</si>
  <si>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</si>
  <si>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</si>
  <si>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</si>
  <si>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</si>
  <si>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</si>
  <si>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</si>
  <si>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</si>
  <si>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</si>
  <si>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</si>
  <si>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</si>
  <si>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</si>
  <si>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</si>
  <si>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</si>
  <si>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</si>
  <si>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</si>
  <si>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</si>
  <si>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</si>
  <si>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</si>
  <si>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</si>
  <si>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</si>
  <si>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</si>
  <si>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</si>
  <si>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</si>
  <si>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</si>
  <si>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</si>
  <si>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</si>
  <si>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</si>
  <si>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</si>
  <si>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</si>
  <si>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</si>
  <si>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</si>
  <si>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</si>
  <si>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</si>
  <si>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</si>
  <si>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</si>
  <si>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</si>
  <si>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</si>
  <si>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</si>
  <si>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</si>
  <si>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</si>
  <si>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</si>
  <si>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</si>
  <si>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</si>
  <si>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</si>
  <si>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</si>
  <si>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</si>
  <si>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</si>
  <si>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</si>
  <si>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</si>
  <si>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</si>
  <si>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</si>
  <si>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</si>
  <si>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</si>
  <si>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</si>
  <si>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</si>
  <si>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</si>
  <si>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</si>
  <si>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</si>
  <si>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</si>
  <si>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</si>
  <si>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</si>
  <si>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</si>
  <si>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</si>
  <si>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</si>
  <si>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</si>
  <si>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</si>
  <si>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</si>
  <si>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</si>
  <si>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</si>
  <si>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</si>
  <si>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</si>
  <si>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</si>
  <si>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</si>
  <si>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</si>
  <si>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</si>
  <si>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</si>
  <si>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</si>
  <si>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</si>
  <si>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</si>
  <si>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</si>
  <si>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</si>
  <si>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</si>
  <si>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</si>
  <si>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</si>
  <si>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</si>
  <si>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</si>
  <si>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</si>
  <si>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</si>
  <si>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</si>
  <si>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</si>
  <si>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</si>
  <si>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</si>
  <si>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</si>
  <si>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</si>
  <si>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</si>
  <si>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</si>
  <si>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</si>
  <si>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</si>
  <si>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</si>
  <si>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</si>
  <si>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</si>
  <si>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</si>
  <si>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</si>
  <si>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</si>
  <si>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</si>
  <si>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</si>
  <si>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</si>
  <si>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</si>
  <si>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</si>
  <si>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</si>
  <si>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</si>
  <si>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</si>
  <si>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</si>
  <si>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</si>
  <si>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</si>
  <si>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</si>
  <si>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</si>
  <si>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</si>
  <si>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</si>
  <si>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</si>
  <si>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</si>
  <si>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</si>
  <si>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</si>
  <si>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</si>
  <si>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</si>
  <si>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</si>
  <si>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</si>
  <si>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</si>
  <si>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</si>
  <si>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</si>
  <si>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</si>
  <si>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</si>
  <si>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</si>
  <si>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</si>
  <si>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</si>
  <si>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</si>
  <si>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</si>
  <si>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</si>
  <si>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</si>
  <si>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</si>
  <si>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</si>
  <si>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</si>
  <si>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</si>
  <si>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</si>
  <si>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</si>
  <si>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</si>
  <si>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</si>
  <si>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</si>
  <si>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</si>
  <si>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</si>
  <si>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</si>
  <si>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</si>
  <si>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</si>
  <si>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</si>
  <si>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</si>
  <si>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</si>
  <si>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</si>
  <si>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</si>
  <si>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</si>
  <si>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</si>
  <si>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</si>
  <si>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</si>
  <si>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</si>
  <si>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</si>
  <si>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</si>
  <si>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</si>
  <si>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</si>
  <si>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</si>
  <si>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</si>
  <si>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</si>
  <si>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</si>
  <si>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</si>
  <si>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</si>
  <si>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</si>
  <si>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</si>
  <si>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</si>
  <si>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</si>
  <si>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</si>
  <si>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</si>
  <si>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</si>
  <si>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</si>
  <si>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</si>
  <si>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</si>
  <si>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</si>
  <si>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</si>
  <si>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</si>
  <si>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</si>
  <si>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</si>
  <si>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</si>
  <si>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</si>
  <si>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</si>
  <si>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</si>
  <si>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</si>
  <si>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</si>
  <si>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</si>
  <si>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</si>
  <si>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</si>
  <si>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</si>
  <si>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</si>
  <si>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</si>
  <si>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</si>
  <si>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</si>
  <si>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</si>
  <si>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</si>
  <si>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</si>
  <si>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</si>
  <si>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</si>
  <si>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</si>
  <si>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</si>
  <si>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</si>
  <si>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</si>
  <si>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</si>
  <si>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</si>
  <si>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</si>
  <si>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</si>
  <si>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</si>
  <si>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</si>
  <si>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</si>
  <si>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</si>
  <si>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</si>
  <si>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</si>
  <si>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</si>
  <si>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</si>
  <si>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</si>
  <si>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</si>
  <si>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</si>
  <si>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</si>
  <si>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</si>
  <si>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</si>
  <si>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</si>
  <si>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</si>
  <si>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</si>
  <si>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</si>
  <si>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</si>
  <si>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</si>
  <si>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</si>
  <si>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</si>
  <si>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</si>
  <si>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</si>
  <si>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</si>
  <si>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</si>
  <si>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</si>
  <si>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</si>
  <si>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</si>
  <si>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</si>
  <si>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</si>
  <si>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</si>
  <si>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</si>
  <si>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</si>
  <si>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</si>
  <si>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</si>
  <si>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</si>
  <si>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</si>
  <si>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</si>
  <si>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</si>
  <si>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</si>
  <si>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</si>
  <si>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</si>
  <si>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</si>
  <si>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</si>
  <si>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</si>
  <si>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</si>
  <si>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</si>
  <si>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</si>
  <si>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</si>
  <si>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</si>
  <si>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</si>
  <si>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</si>
  <si>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</si>
  <si>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</si>
  <si>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</si>
  <si>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</si>
  <si>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</si>
  <si>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</si>
  <si>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</si>
  <si>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</si>
  <si>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</si>
  <si>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</si>
  <si>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</si>
  <si>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</si>
  <si>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</si>
  <si>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</si>
  <si>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</si>
  <si>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</si>
  <si>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</si>
  <si>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</si>
  <si>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</si>
  <si>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</si>
  <si>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</si>
  <si>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</si>
  <si>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</si>
  <si>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</si>
  <si>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</si>
  <si>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</si>
  <si>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</si>
  <si>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</si>
  <si>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</si>
  <si>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</si>
  <si>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</si>
  <si>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</si>
  <si>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</si>
  <si>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</si>
  <si>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</si>
  <si>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</si>
  <si>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</si>
  <si>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</si>
  <si>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</si>
  <si>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</si>
  <si>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</si>
  <si>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</si>
  <si>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</si>
  <si>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</si>
  <si>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</si>
  <si>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</si>
  <si>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</si>
  <si>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</si>
  <si>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</si>
  <si>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</si>
  <si>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</si>
  <si>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</si>
  <si>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</si>
  <si>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</si>
  <si>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</si>
  <si>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</si>
  <si>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</si>
  <si>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</si>
  <si>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</si>
  <si>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</si>
  <si>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</si>
  <si>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</si>
  <si>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</si>
  <si>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</si>
  <si>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</si>
  <si>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</si>
  <si>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</si>
  <si>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</si>
  <si>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</si>
  <si>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</si>
  <si>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</si>
  <si>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</si>
  <si>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</si>
  <si>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</si>
  <si>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</si>
  <si>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</si>
  <si>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</si>
  <si>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</si>
  <si>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</si>
  <si>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</si>
  <si>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</si>
  <si>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</si>
  <si>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</si>
  <si>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</si>
  <si>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</si>
  <si>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</si>
  <si>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</si>
  <si>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</si>
  <si>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</si>
  <si>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</si>
  <si>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</si>
  <si>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</si>
  <si>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</si>
  <si>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</si>
  <si>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</si>
  <si>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</si>
  <si>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</si>
  <si>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</si>
  <si>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</si>
  <si>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</si>
  <si>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</si>
  <si>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</si>
  <si>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</si>
  <si>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</si>
  <si>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</si>
  <si>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</si>
  <si>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</si>
  <si>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</si>
  <si>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</si>
  <si>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</si>
  <si>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</si>
  <si>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</si>
  <si>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</si>
  <si>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</si>
  <si>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</si>
  <si>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</si>
  <si>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</si>
  <si>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</si>
  <si>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</si>
  <si>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</si>
  <si>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</si>
  <si>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</si>
  <si>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</si>
  <si>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</si>
  <si>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</si>
  <si>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</si>
  <si>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</si>
  <si>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</si>
  <si>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</si>
  <si>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</si>
  <si>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</si>
  <si>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</si>
  <si>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</si>
  <si>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</si>
  <si>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</si>
  <si>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</si>
  <si>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</si>
  <si>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</si>
  <si>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</si>
  <si>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</si>
  <si>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</si>
  <si>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</si>
  <si>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</si>
  <si>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</si>
  <si>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</si>
  <si>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</si>
  <si>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</si>
  <si>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</si>
  <si>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</si>
  <si>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</si>
  <si>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</si>
  <si>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</si>
  <si>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</si>
  <si>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</si>
  <si>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</si>
  <si>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</si>
  <si>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</si>
  <si>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</si>
  <si>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</si>
  <si>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</si>
  <si>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</si>
  <si>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</si>
  <si>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</si>
  <si>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</si>
  <si>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</si>
  <si>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</si>
  <si>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</si>
  <si>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</si>
  <si>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</si>
  <si>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</si>
  <si>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</si>
  <si>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</si>
  <si>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</si>
  <si>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</si>
  <si>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</si>
  <si>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</si>
  <si>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</si>
  <si>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</si>
  <si>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</si>
  <si>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</si>
  <si>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</si>
  <si>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</si>
  <si>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</si>
  <si>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</si>
  <si>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</si>
  <si>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</si>
  <si>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</si>
  <si>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</si>
  <si>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</si>
  <si>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</si>
  <si>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</si>
  <si>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</si>
  <si>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</si>
  <si>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</si>
  <si>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</si>
  <si>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</si>
  <si>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</si>
  <si>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</si>
  <si>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</si>
  <si>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</si>
  <si>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</si>
  <si>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</si>
  <si>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</si>
  <si>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</si>
  <si>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</si>
  <si>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</si>
  <si>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</si>
  <si>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</si>
  <si>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</si>
  <si>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</si>
  <si>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</si>
  <si>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</si>
  <si>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</si>
  <si>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</si>
  <si>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</si>
  <si>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</si>
  <si>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</si>
  <si>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</si>
  <si>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</si>
  <si>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</si>
  <si>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</si>
  <si>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</si>
  <si>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</si>
  <si>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</si>
  <si>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</si>
  <si>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</si>
  <si>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</si>
  <si>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</si>
  <si>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</si>
  <si>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</si>
  <si>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</si>
  <si>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</si>
  <si>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</si>
  <si>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</si>
  <si>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</si>
  <si>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</si>
  <si>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</si>
  <si>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</si>
  <si>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</si>
  <si>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</si>
  <si>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</si>
  <si>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</si>
  <si>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</si>
  <si>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</si>
  <si>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</si>
  <si>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</si>
  <si>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</si>
  <si>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</si>
  <si>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</si>
  <si>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</si>
  <si>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</si>
  <si>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</si>
  <si>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</si>
  <si>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</si>
  <si>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</si>
  <si>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</si>
  <si>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</si>
  <si>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</si>
  <si>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</si>
  <si>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</si>
  <si>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</si>
  <si>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</si>
  <si>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</si>
  <si>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</si>
  <si>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</si>
  <si>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</si>
  <si>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</si>
  <si>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</si>
  <si>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</si>
  <si>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</si>
  <si>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</si>
  <si>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</si>
  <si>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</si>
  <si>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</si>
  <si>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</si>
  <si>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</si>
  <si>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</si>
  <si>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</si>
  <si>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</si>
  <si>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</si>
  <si>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</si>
  <si>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</si>
  <si>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</si>
  <si>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</si>
  <si>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</si>
  <si>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</si>
  <si>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</si>
  <si>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</si>
  <si>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</si>
  <si>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</si>
  <si>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</si>
  <si>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</si>
  <si>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</si>
  <si>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</si>
  <si>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</si>
  <si>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</si>
  <si>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</si>
  <si>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</si>
  <si>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</si>
  <si>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</si>
  <si>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</si>
  <si>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</si>
  <si>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</si>
  <si>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</si>
  <si>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</si>
  <si>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</si>
  <si>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</si>
  <si>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</si>
  <si>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</si>
  <si>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</si>
  <si>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</si>
  <si>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</si>
  <si>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</si>
  <si>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</si>
  <si>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</si>
  <si>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</si>
  <si>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</si>
  <si>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</si>
  <si>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</si>
  <si>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</si>
  <si>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</si>
  <si>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</si>
  <si>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</si>
  <si>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</si>
  <si>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</si>
  <si>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</si>
  <si>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</si>
  <si>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</si>
  <si>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</si>
  <si>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</si>
  <si>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</si>
  <si>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</si>
  <si>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</si>
  <si>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</si>
  <si>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</si>
  <si>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</si>
  <si>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</si>
  <si>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</si>
  <si>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</si>
  <si>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</si>
  <si>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</si>
  <si>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</si>
  <si>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</si>
  <si>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</si>
  <si>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</si>
  <si>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</si>
  <si>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</si>
  <si>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</si>
  <si>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</si>
  <si>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</si>
  <si>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</si>
  <si>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</si>
  <si>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</si>
  <si>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</si>
  <si>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</si>
  <si>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</si>
  <si>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</si>
  <si>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</si>
  <si>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</si>
  <si>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</si>
  <si>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</si>
  <si>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</si>
  <si>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</si>
  <si>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</si>
  <si>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</si>
  <si>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</si>
  <si>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</si>
  <si>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</si>
  <si>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</si>
  <si>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</si>
  <si>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</si>
  <si>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</si>
  <si>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</si>
  <si>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</si>
  <si>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</si>
  <si>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</si>
  <si>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</si>
  <si>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</si>
  <si>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</si>
  <si>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</si>
  <si>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</si>
  <si>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</si>
  <si>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</si>
  <si>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</si>
  <si>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</si>
  <si>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</si>
  <si>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</si>
  <si>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</si>
  <si>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</si>
  <si>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</si>
  <si>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</si>
  <si>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</si>
  <si>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</si>
  <si>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</si>
  <si>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</si>
  <si>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</si>
  <si>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</si>
  <si>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</si>
  <si>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</si>
  <si>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</si>
  <si>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</si>
  <si>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</si>
  <si>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</si>
  <si>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</si>
  <si>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</si>
  <si>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</si>
  <si>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</si>
  <si>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</si>
  <si>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</si>
  <si>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</si>
  <si>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</si>
  <si>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</si>
  <si>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</si>
  <si>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</si>
  <si>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</si>
  <si>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</si>
  <si>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</si>
  <si>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</si>
  <si>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</si>
  <si>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</si>
  <si>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</si>
  <si>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</si>
  <si>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</si>
  <si>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</si>
  <si>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</si>
  <si>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</si>
  <si>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</si>
  <si>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</si>
  <si>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</si>
  <si>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</si>
  <si>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</si>
  <si>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</si>
  <si>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</si>
  <si>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</si>
  <si>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</si>
  <si>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</si>
  <si>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</si>
  <si>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</si>
  <si>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</si>
  <si>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</si>
  <si>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</si>
  <si>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</si>
  <si>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</si>
  <si>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</si>
  <si>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</si>
  <si>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</si>
  <si>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</si>
  <si>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</si>
  <si>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</si>
  <si>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</si>
  <si>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</si>
  <si>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</si>
  <si>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</si>
  <si>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</si>
  <si>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</si>
  <si>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</si>
  <si>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</si>
  <si>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</si>
  <si>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</si>
  <si>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</si>
  <si>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</si>
  <si>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</si>
  <si>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</si>
  <si>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</si>
  <si>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</si>
  <si>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</si>
  <si>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</si>
  <si>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</si>
  <si>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</si>
  <si>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</si>
  <si>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</si>
  <si>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</si>
  <si>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</si>
  <si>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</si>
  <si>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</si>
  <si>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</si>
  <si>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</si>
  <si>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</si>
  <si>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</si>
  <si>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</si>
  <si>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</si>
  <si>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</si>
  <si>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</si>
  <si>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</si>
  <si>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</si>
  <si>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</si>
  <si>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</si>
  <si>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</si>
  <si>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</si>
  <si>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</si>
  <si>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</si>
  <si>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</si>
  <si>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</si>
  <si>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</si>
  <si>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</si>
  <si>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</si>
  <si>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</si>
  <si>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</si>
  <si>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</si>
  <si>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</si>
  <si>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</si>
  <si>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</si>
  <si>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</si>
  <si>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</si>
  <si>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</si>
  <si>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</si>
  <si>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</si>
  <si>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</si>
  <si>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</si>
  <si>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</si>
  <si>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</si>
  <si>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</si>
  <si>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</si>
  <si>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</si>
  <si>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</si>
  <si>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</si>
  <si>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</si>
  <si>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</si>
  <si>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</si>
  <si>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</si>
  <si>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</si>
  <si>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</si>
  <si>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</si>
  <si>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</si>
  <si>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</si>
  <si>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</si>
  <si>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</si>
  <si>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</si>
  <si>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</si>
  <si>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</si>
  <si>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</si>
  <si>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</si>
  <si>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</si>
  <si>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</si>
  <si>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</si>
  <si>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</si>
  <si>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</si>
  <si>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</si>
  <si>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</si>
  <si>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</si>
  <si>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</si>
  <si>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</si>
  <si>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</si>
  <si>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</si>
  <si>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</si>
  <si>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</si>
  <si>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</si>
  <si>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</si>
  <si>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</si>
  <si>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</si>
  <si>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</si>
  <si>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</si>
  <si>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</si>
  <si>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</si>
  <si>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</si>
  <si>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</si>
  <si>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</si>
  <si>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</si>
  <si>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</si>
  <si>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</si>
  <si>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</si>
  <si>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</si>
  <si>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</si>
  <si>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</si>
  <si>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</si>
  <si>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</si>
  <si>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</si>
  <si>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</si>
  <si>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</si>
  <si>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</si>
  <si>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</si>
  <si>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</si>
  <si>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</si>
  <si>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</si>
  <si>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</si>
  <si>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</si>
  <si>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</si>
  <si>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</si>
  <si>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</si>
  <si>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</si>
  <si>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</si>
  <si>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</si>
  <si>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</si>
  <si>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</si>
  <si>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</si>
  <si>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</si>
  <si>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</si>
  <si>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</si>
  <si>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</si>
  <si>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</si>
  <si>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</si>
  <si>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</si>
  <si>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</si>
  <si>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</si>
  <si>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</si>
  <si>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</si>
  <si>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</si>
  <si>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</si>
  <si>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</si>
  <si>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</si>
  <si>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</si>
  <si>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</si>
  <si>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</si>
  <si>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</si>
  <si>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</si>
  <si>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</si>
  <si>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</si>
  <si>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</si>
  <si>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</si>
  <si>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</si>
  <si>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</si>
  <si>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</si>
  <si>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</si>
  <si>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</si>
  <si>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</si>
  <si>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</si>
  <si>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</si>
  <si>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</si>
  <si>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</si>
  <si>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</si>
  <si>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</si>
  <si>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</si>
  <si>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</si>
  <si>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</si>
  <si>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</si>
  <si>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</si>
  <si>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</si>
  <si>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</si>
  <si>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</si>
  <si>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</si>
  <si>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</si>
  <si>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</si>
  <si>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</si>
  <si>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</si>
  <si>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</si>
  <si>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</si>
  <si>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</si>
  <si>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</si>
  <si>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</si>
  <si>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</si>
  <si>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</si>
  <si>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</si>
  <si>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</si>
  <si>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</si>
  <si>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</si>
  <si>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</si>
  <si>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</si>
  <si>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</si>
  <si>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</si>
  <si>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</si>
  <si>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</si>
  <si>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</si>
  <si>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</si>
  <si>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</si>
  <si>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</si>
  <si>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</si>
  <si>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</si>
  <si>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</si>
  <si>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</si>
  <si>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</si>
  <si>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</si>
  <si>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</si>
  <si>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</si>
  <si>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</si>
  <si>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</si>
  <si>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</si>
  <si>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</si>
  <si>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</si>
  <si>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</si>
  <si>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</si>
  <si>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</si>
  <si>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</si>
  <si>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</si>
  <si>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</si>
  <si>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</si>
  <si>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</si>
  <si>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</si>
  <si>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</si>
  <si>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</si>
  <si>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</si>
  <si>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</si>
  <si>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</si>
  <si>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</si>
  <si>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</si>
  <si>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</si>
  <si>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</si>
  <si>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</si>
  <si>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</si>
  <si>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</si>
  <si>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</si>
  <si>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</si>
  <si>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</si>
  <si>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</si>
  <si>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</si>
  <si>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</si>
  <si>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</si>
  <si>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</si>
  <si>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</si>
  <si>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</si>
  <si>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</si>
  <si>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</si>
  <si>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</si>
  <si>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</si>
  <si>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</si>
  <si>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</si>
  <si>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</si>
  <si>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</si>
  <si>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</si>
  <si>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</si>
  <si>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</si>
  <si>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</si>
  <si>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</si>
  <si>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</si>
  <si>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</si>
  <si>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</si>
  <si>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</si>
  <si>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</si>
  <si>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</si>
  <si>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</si>
  <si>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</si>
  <si>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</si>
  <si>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</si>
  <si>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</si>
  <si>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</si>
  <si>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</si>
  <si>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</si>
  <si>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</si>
  <si>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</si>
  <si>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</si>
  <si>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</si>
  <si>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</si>
  <si>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</si>
  <si>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</si>
  <si>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</si>
  <si>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</si>
  <si>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</si>
  <si>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</si>
  <si>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</si>
  <si>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</si>
  <si>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</si>
  <si>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</si>
  <si>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</si>
  <si>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</si>
  <si>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</si>
  <si>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</si>
  <si>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</si>
  <si>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</si>
  <si>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</si>
  <si>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</si>
  <si>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</si>
  <si>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</si>
  <si>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</si>
  <si>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</si>
  <si>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</si>
  <si>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</si>
  <si>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</si>
  <si>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</si>
  <si>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</si>
  <si>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</si>
  <si>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</si>
  <si>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</si>
  <si>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</si>
  <si>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</si>
  <si>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</si>
  <si>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</si>
  <si>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</si>
  <si>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</si>
  <si>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</si>
  <si>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</si>
  <si>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</si>
  <si>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</si>
  <si>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</si>
  <si>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</si>
  <si>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</si>
  <si>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</si>
  <si>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</si>
  <si>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</si>
  <si>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</si>
  <si>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</si>
  <si>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</si>
  <si>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</si>
  <si>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</si>
  <si>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</si>
  <si>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</si>
  <si>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</si>
  <si>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</si>
  <si>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</si>
  <si>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</si>
  <si>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</si>
  <si>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</si>
  <si>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</si>
  <si>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</si>
  <si>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</si>
  <si>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</si>
  <si>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</si>
  <si>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</si>
  <si>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</si>
  <si>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</si>
  <si>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</si>
  <si>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</si>
  <si>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</si>
  <si>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</si>
  <si>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</si>
  <si>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</si>
  <si>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</si>
  <si>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</si>
  <si>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</si>
  <si>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</si>
  <si>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</si>
  <si>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</si>
  <si>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</si>
  <si>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</si>
  <si>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</si>
  <si>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</si>
  <si>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</si>
  <si>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</si>
  <si>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</si>
  <si>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</si>
  <si>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</si>
  <si>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</si>
  <si>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</si>
  <si>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</si>
  <si>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</si>
  <si>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</si>
  <si>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</si>
  <si>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</si>
  <si>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</si>
  <si>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</si>
  <si>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</si>
  <si>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</si>
  <si>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</si>
  <si>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</si>
  <si>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</si>
  <si>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</si>
  <si>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</si>
  <si>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</si>
  <si>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</si>
  <si>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</si>
  <si>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</si>
  <si>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</si>
  <si>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</si>
  <si>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</si>
  <si>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</si>
  <si>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</si>
  <si>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</si>
  <si>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</si>
  <si>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</si>
  <si>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</si>
  <si>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</si>
  <si>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</si>
  <si>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</si>
  <si>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</si>
  <si>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</si>
  <si>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</si>
  <si>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</si>
  <si>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</si>
  <si>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</si>
  <si>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</si>
  <si>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</si>
  <si>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</si>
  <si>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</si>
  <si>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</si>
  <si>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</si>
  <si>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</si>
  <si>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</si>
  <si>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</si>
  <si>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</si>
  <si>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</si>
  <si>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</si>
  <si>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</si>
  <si>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</si>
  <si>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</si>
  <si>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</si>
  <si>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</si>
  <si>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</si>
  <si>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</si>
  <si>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</si>
  <si>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</si>
  <si>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</si>
  <si>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</si>
  <si>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</si>
  <si>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</si>
  <si>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</si>
  <si>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</si>
  <si>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</si>
  <si>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</si>
  <si>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</si>
  <si>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</si>
  <si>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</si>
  <si>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</si>
  <si>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</si>
  <si>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</si>
  <si>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</si>
  <si>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</si>
  <si>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</si>
  <si>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</si>
  <si>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</si>
  <si>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</si>
  <si>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</si>
  <si>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</si>
  <si>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</si>
  <si>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</si>
  <si>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</si>
  <si>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</si>
  <si>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</si>
  <si>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</si>
  <si>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</si>
  <si>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</si>
  <si>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</si>
  <si>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</si>
  <si>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</si>
  <si>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</si>
  <si>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</si>
  <si>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</si>
  <si>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</si>
  <si>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</si>
  <si>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</si>
  <si>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</si>
  <si>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</si>
  <si>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</si>
  <si>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</si>
  <si>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</si>
  <si>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</si>
  <si>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</si>
  <si>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</si>
  <si>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</si>
  <si>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</si>
  <si>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</si>
  <si>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</si>
  <si>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</si>
  <si>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</si>
  <si>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</si>
  <si>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</si>
  <si>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</si>
  <si>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</si>
  <si>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</si>
  <si>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</si>
  <si>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</si>
  <si>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</si>
  <si>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</si>
  <si>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</si>
  <si>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</si>
  <si>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</si>
  <si>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</si>
  <si>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</si>
  <si>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</si>
  <si>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</si>
  <si>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</si>
  <si>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</si>
  <si>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</si>
  <si>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</si>
  <si>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</si>
  <si>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</si>
  <si>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</si>
  <si>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</si>
  <si>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</si>
  <si>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</si>
  <si>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</si>
  <si>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</si>
  <si>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</si>
  <si>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</si>
  <si>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</si>
  <si>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</si>
  <si>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</si>
  <si>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</si>
  <si>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</si>
  <si>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</si>
  <si>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</si>
  <si>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</si>
  <si>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</si>
  <si>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</si>
  <si>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</si>
  <si>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</si>
  <si>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</si>
  <si>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</si>
  <si>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</si>
  <si>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</si>
  <si>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</si>
  <si>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</si>
  <si>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</si>
  <si>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</si>
  <si>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</si>
  <si>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</si>
  <si>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</si>
  <si>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</si>
  <si>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</si>
  <si>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</si>
  <si>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</si>
  <si>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</si>
  <si>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</si>
  <si>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</si>
  <si>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</si>
  <si>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</si>
  <si>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</si>
  <si>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</si>
  <si>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</si>
  <si>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</si>
  <si>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</si>
  <si>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</si>
  <si>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</si>
  <si>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</si>
  <si>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</si>
  <si>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</si>
  <si>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</si>
  <si>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</si>
  <si>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</si>
  <si>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</si>
  <si>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</si>
  <si>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</si>
  <si>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</si>
  <si>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</si>
  <si>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</si>
  <si>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</si>
  <si>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</si>
  <si>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</si>
  <si>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</si>
  <si>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</si>
  <si>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</si>
  <si>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</si>
  <si>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</si>
  <si>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</si>
  <si>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</si>
  <si>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</si>
  <si>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</si>
  <si>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</si>
  <si>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</si>
  <si>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</si>
  <si>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</si>
  <si>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</si>
  <si>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</si>
  <si>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</si>
  <si>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</si>
  <si>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</si>
  <si>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</si>
  <si>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</si>
  <si>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</si>
  <si>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</si>
  <si>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</si>
  <si>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</si>
  <si>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</si>
  <si>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</si>
  <si>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</si>
  <si>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</si>
  <si>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</si>
  <si>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</si>
  <si>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</si>
  <si>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</si>
  <si>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</si>
  <si>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</si>
  <si>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</si>
  <si>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</si>
  <si>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</si>
  <si>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</si>
  <si>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</si>
  <si>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</si>
  <si>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</si>
  <si>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</si>
  <si>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</si>
  <si>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</si>
  <si>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</si>
  <si>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</si>
  <si>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</si>
  <si>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</si>
  <si>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</si>
  <si>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</si>
  <si>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</si>
  <si>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</si>
  <si>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</si>
  <si>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</si>
  <si>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</si>
  <si>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</si>
  <si>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</si>
  <si>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</si>
  <si>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</si>
  <si>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</si>
  <si>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</si>
  <si>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</si>
  <si>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</si>
  <si>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</si>
  <si>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</si>
  <si>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</si>
  <si>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</si>
  <si>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</si>
  <si>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</si>
  <si>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</si>
  <si>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</si>
  <si>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</si>
  <si>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</si>
  <si>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</si>
  <si>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</si>
  <si>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</si>
  <si>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</si>
  <si>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</si>
  <si>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</si>
  <si>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</si>
  <si>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</si>
  <si>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</si>
  <si>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</si>
  <si>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</si>
  <si>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</si>
  <si>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</si>
  <si>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</si>
  <si>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</si>
  <si>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</si>
  <si>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</si>
  <si>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</si>
  <si>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</si>
  <si>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</si>
  <si>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</si>
  <si>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</si>
  <si>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</si>
  <si>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</si>
  <si>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</si>
  <si>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</si>
  <si>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</si>
  <si>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</si>
  <si>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</si>
  <si>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</si>
  <si>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</si>
  <si>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</si>
  <si>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</si>
  <si>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</si>
  <si>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</si>
  <si>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</si>
  <si>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</si>
  <si>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</si>
  <si>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</si>
  <si>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</si>
  <si>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</si>
  <si>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</si>
  <si>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</si>
  <si>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</si>
  <si>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</si>
  <si>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</si>
  <si>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</si>
  <si>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</si>
  <si>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</si>
  <si>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</si>
  <si>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</si>
  <si>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</si>
  <si>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</si>
  <si>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</si>
  <si>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</si>
  <si>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</si>
  <si>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</si>
  <si>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</si>
  <si>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</si>
  <si>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</si>
  <si>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</si>
  <si>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</si>
  <si>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</si>
  <si>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</si>
  <si>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</si>
  <si>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</si>
  <si>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</si>
  <si>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</si>
  <si>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</si>
  <si>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</si>
  <si>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</si>
  <si>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</si>
  <si>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</si>
  <si>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</si>
  <si>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</si>
  <si>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</si>
  <si>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</si>
  <si>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</si>
  <si>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</si>
  <si>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</si>
  <si>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</si>
  <si>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</si>
  <si>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</si>
  <si>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</si>
  <si>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</si>
  <si>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</si>
  <si>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</si>
  <si>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</si>
  <si>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</si>
  <si>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</si>
  <si>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</si>
  <si>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</si>
  <si>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</si>
  <si>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</si>
  <si>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</si>
  <si>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</si>
  <si>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</si>
  <si>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</si>
  <si>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</si>
  <si>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</si>
  <si>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</si>
  <si>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</si>
  <si>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</si>
  <si>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</si>
  <si>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</si>
  <si>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</si>
  <si>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</si>
  <si>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</si>
  <si>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</si>
  <si>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</si>
  <si>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</si>
  <si>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</si>
  <si>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</si>
  <si>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</si>
  <si>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</si>
  <si>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</si>
  <si>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</si>
  <si>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</si>
  <si>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</si>
  <si>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</si>
  <si>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</si>
  <si>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</si>
  <si>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</si>
  <si>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</si>
  <si>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</si>
  <si>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</si>
  <si>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</si>
  <si>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</si>
  <si>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</si>
  <si>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</si>
  <si>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</si>
  <si>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</si>
  <si>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</si>
  <si>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</si>
  <si>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</si>
  <si>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</si>
  <si>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</si>
  <si>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</si>
  <si>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</si>
  <si>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</si>
  <si>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</si>
  <si>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</si>
  <si>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</si>
  <si>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</si>
  <si>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</si>
  <si>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</si>
  <si>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</si>
  <si>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</si>
  <si>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</si>
  <si>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</si>
  <si>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</si>
  <si>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</si>
  <si>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</si>
  <si>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</si>
  <si>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</si>
  <si>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</si>
  <si>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</si>
  <si>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</si>
  <si>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</si>
  <si>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</si>
  <si>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</si>
  <si>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</si>
  <si>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</si>
  <si>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</si>
  <si>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</si>
  <si>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</si>
  <si>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</si>
  <si>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</si>
  <si>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</si>
  <si>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</si>
  <si>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</si>
  <si>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</si>
  <si>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</si>
  <si>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</si>
  <si>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</si>
  <si>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</si>
  <si>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</si>
  <si>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</si>
  <si>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</si>
  <si>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</si>
  <si>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</si>
  <si>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</si>
  <si>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</si>
  <si>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</si>
  <si>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</si>
  <si>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</si>
  <si>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</si>
  <si>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</si>
  <si>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</si>
  <si>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</si>
  <si>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</si>
  <si>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</si>
  <si>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</si>
  <si>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</si>
  <si>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</si>
  <si>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</si>
  <si>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</si>
  <si>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</si>
  <si>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</si>
  <si>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</si>
  <si>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</si>
  <si>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</si>
  <si>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</si>
  <si>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</si>
  <si>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</si>
  <si>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</si>
  <si>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</si>
  <si>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</si>
  <si>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</si>
  <si>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</si>
  <si>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</si>
  <si>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</si>
  <si>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</si>
  <si>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</si>
  <si>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</si>
  <si>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</si>
  <si>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</si>
  <si>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</si>
  <si>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</si>
  <si>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</si>
  <si>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</si>
  <si>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</si>
  <si>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</si>
  <si>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</si>
  <si>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</si>
  <si>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</si>
  <si>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</si>
  <si>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</si>
  <si>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</si>
  <si>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</si>
  <si>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</si>
  <si>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</si>
  <si>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</si>
  <si>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</si>
  <si>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</si>
  <si>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</si>
  <si>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</si>
  <si>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</si>
  <si>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</si>
  <si>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 No</t>
  </si>
  <si>
    <t>No of Items</t>
  </si>
  <si>
    <t>Average Rating</t>
  </si>
  <si>
    <t>Total Sales</t>
  </si>
  <si>
    <t>Avg Sales</t>
  </si>
  <si>
    <t>No Of Items</t>
  </si>
  <si>
    <t>Avg Rating</t>
  </si>
  <si>
    <t>KPI's Requirements</t>
  </si>
  <si>
    <t>Row Labels</t>
  </si>
  <si>
    <t>Total Sales By Fat Content</t>
  </si>
  <si>
    <t>Total Sales By Item Type</t>
  </si>
  <si>
    <t>Column Labels</t>
  </si>
  <si>
    <t>Total Sales By Fat Content By Outlet location</t>
  </si>
  <si>
    <t>Total Sales By Item Establishment</t>
  </si>
  <si>
    <t>Sales By Outlet Size</t>
  </si>
  <si>
    <t>Outlet Location</t>
  </si>
  <si>
    <t>Sales By Outlet Location</t>
  </si>
  <si>
    <t>Average of Sales</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</si>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</sst>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Black"/>
      <family val="2"/>
    </font>
    <font>
      <b/>
      <sz val="12"/>
      <color theme="1"/>
      <name val="Arial Black"/>
      <family val="2"/>
    </font>
    <font>
      <b/>
      <sz val="11"/>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1" xfId="0" applyBorder="1"/>
    <xf numFmtId="0" fontId="0" fillId="0" borderId="12" xfId="0" applyBorder="1"/>
    <xf numFmtId="0" fontId="0" fillId="0" borderId="13" xfId="0" applyBorder="1"/>
    <xf numFmtId="164" fontId="0" fillId="0" borderId="0" xfId="0" applyNumberFormat="1"/>
    <xf numFmtId="165" fontId="0" fillId="0" borderId="0" xfId="0" applyNumberFormat="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2" xfId="0" applyNumberFormat="1" applyBorder="1"/>
    <xf numFmtId="167" fontId="0" fillId="0" borderId="21" xfId="0" applyNumberFormat="1" applyBorder="1"/>
    <xf numFmtId="167" fontId="0" fillId="0" borderId="20" xfId="0" applyNumberFormat="1" applyBorder="1"/>
    <xf numFmtId="0" fontId="0" fillId="0" borderId="10" xfId="0" applyBorder="1"/>
    <xf numFmtId="167" fontId="0" fillId="0" borderId="23" xfId="0" applyNumberFormat="1" applyBorder="1"/>
    <xf numFmtId="0" fontId="0" fillId="0" borderId="24" xfId="0" applyBorder="1"/>
    <xf numFmtId="0" fontId="0" fillId="0" borderId="22" xfId="0" applyBorder="1"/>
    <xf numFmtId="0" fontId="0" fillId="0" borderId="22" xfId="0" pivotButton="1" applyBorder="1"/>
    <xf numFmtId="0" fontId="0" fillId="0" borderId="20" xfId="0" applyBorder="1" applyAlignment="1">
      <alignment horizontal="left"/>
    </xf>
    <xf numFmtId="0" fontId="0" fillId="0" borderId="23" xfId="0" applyBorder="1" applyAlignment="1">
      <alignment horizontal="left"/>
    </xf>
    <xf numFmtId="0" fontId="0" fillId="0" borderId="21" xfId="0" applyBorder="1" applyAlignment="1">
      <alignment horizontal="left"/>
    </xf>
    <xf numFmtId="0" fontId="20" fillId="34" borderId="10" xfId="0" applyFont="1" applyFill="1" applyBorder="1" applyAlignment="1">
      <alignment horizontal="center"/>
    </xf>
    <xf numFmtId="167" fontId="0" fillId="0" borderId="0" xfId="0" applyNumberFormat="1"/>
    <xf numFmtId="164" fontId="0" fillId="0" borderId="20" xfId="0" applyNumberFormat="1" applyBorder="1"/>
    <xf numFmtId="164" fontId="0" fillId="0" borderId="23" xfId="0" applyNumberFormat="1" applyBorder="1"/>
    <xf numFmtId="164" fontId="0" fillId="0" borderId="21" xfId="0" applyNumberFormat="1" applyBorder="1"/>
    <xf numFmtId="1" fontId="0" fillId="0" borderId="20" xfId="0" applyNumberFormat="1" applyBorder="1"/>
    <xf numFmtId="1" fontId="0" fillId="0" borderId="23" xfId="0" applyNumberFormat="1" applyBorder="1"/>
    <xf numFmtId="1" fontId="0" fillId="0" borderId="21" xfId="0" applyNumberFormat="1" applyBorder="1"/>
    <xf numFmtId="0" fontId="18" fillId="33" borderId="10" xfId="0" applyFont="1" applyFill="1" applyBorder="1" applyAlignment="1">
      <alignment horizontal="center"/>
    </xf>
    <xf numFmtId="0" fontId="18" fillId="33" borderId="24" xfId="0" applyFont="1" applyFill="1" applyBorder="1" applyAlignment="1">
      <alignment horizontal="center"/>
    </xf>
    <xf numFmtId="0" fontId="0" fillId="33" borderId="24" xfId="0" applyFill="1" applyBorder="1" applyAlignment="1">
      <alignment horizontal="center"/>
    </xf>
    <xf numFmtId="0" fontId="19" fillId="33" borderId="0" xfId="0" applyFont="1" applyFill="1" applyAlignment="1">
      <alignment horizontal="center"/>
    </xf>
    <xf numFmtId="0" fontId="0" fillId="33" borderId="0" xfId="0" applyFill="1" applyAlignment="1">
      <alignment horizontal="center"/>
    </xf>
    <xf numFmtId="0" fontId="18" fillId="33" borderId="12" xfId="0" applyFont="1" applyFill="1" applyBorder="1" applyAlignment="1">
      <alignment horizontal="center"/>
    </xf>
    <xf numFmtId="0" fontId="18" fillId="34" borderId="10" xfId="0" applyFont="1" applyFill="1" applyBorder="1" applyAlignment="1">
      <alignment horizontal="center"/>
    </xf>
    <xf numFmtId="0" fontId="18" fillId="34" borderId="2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D028A5D-2D47-4840-BDB6-B8F555699865}">
      <tableStyleElement type="wholeTable" dxfId="103"/>
      <tableStyleElement type="headerRow" dxfId="102"/>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82-4599-82DE-FA0996C66E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82-4599-82DE-FA0996C66E3E}"/>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6944-43E4-AFBB-481E131AE6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Design'!$B$16:$B$17</c:f>
              <c:strCache>
                <c:ptCount val="1"/>
                <c:pt idx="0">
                  <c:v>Regular</c:v>
                </c:pt>
              </c:strCache>
            </c:strRef>
          </c:tx>
          <c:spPr>
            <a:solidFill>
              <a:schemeClr val="accent1"/>
            </a:solidFill>
            <a:ln>
              <a:noFill/>
            </a:ln>
            <a:effectLst/>
          </c:spPr>
          <c:invertIfNegative val="0"/>
          <c:cat>
            <c:strRef>
              <c:f>'Sheets Design'!$A$18:$A$20</c:f>
              <c:strCache>
                <c:ptCount val="3"/>
                <c:pt idx="0">
                  <c:v>Tier 1</c:v>
                </c:pt>
                <c:pt idx="1">
                  <c:v>Tier 2</c:v>
                </c:pt>
                <c:pt idx="2">
                  <c:v>Tier 3</c:v>
                </c:pt>
              </c:strCache>
            </c:strRef>
          </c:cat>
          <c:val>
            <c:numRef>
              <c:f>'Sheets Design'!$B$18:$B$20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FEDA-472B-B77B-8DB1843BBD95}"/>
            </c:ext>
          </c:extLst>
        </c:ser>
        <c:ser>
          <c:idx val="1"/>
          <c:order val="1"/>
          <c:tx>
            <c:strRef>
              <c:f>'Sheets Design'!$C$16:$C$17</c:f>
              <c:strCache>
                <c:ptCount val="1"/>
                <c:pt idx="0">
                  <c:v>Low Fat</c:v>
                </c:pt>
              </c:strCache>
            </c:strRef>
          </c:tx>
          <c:spPr>
            <a:solidFill>
              <a:schemeClr val="accent2"/>
            </a:solidFill>
            <a:ln>
              <a:noFill/>
            </a:ln>
            <a:effectLst/>
          </c:spPr>
          <c:invertIfNegative val="0"/>
          <c:cat>
            <c:strRef>
              <c:f>'Sheets Design'!$A$18:$A$20</c:f>
              <c:strCache>
                <c:ptCount val="3"/>
                <c:pt idx="0">
                  <c:v>Tier 1</c:v>
                </c:pt>
                <c:pt idx="1">
                  <c:v>Tier 2</c:v>
                </c:pt>
                <c:pt idx="2">
                  <c:v>Tier 3</c:v>
                </c:pt>
              </c:strCache>
            </c:strRef>
          </c:cat>
          <c:val>
            <c:numRef>
              <c:f>'Sheets Design'!$C$18:$C$20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EDA-472B-B77B-8DB1843BBD95}"/>
            </c:ext>
          </c:extLst>
        </c:ser>
        <c:dLbls>
          <c:showLegendKey val="0"/>
          <c:showVal val="0"/>
          <c:showCatName val="0"/>
          <c:showSerName val="0"/>
          <c:showPercent val="0"/>
          <c:showBubbleSize val="0"/>
        </c:dLbls>
        <c:gapWidth val="182"/>
        <c:axId val="400250399"/>
        <c:axId val="408782863"/>
      </c:barChart>
      <c:catAx>
        <c:axId val="4002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82863"/>
        <c:crosses val="autoZero"/>
        <c:auto val="1"/>
        <c:lblAlgn val="ctr"/>
        <c:lblOffset val="100"/>
        <c:noMultiLvlLbl val="0"/>
      </c:catAx>
      <c:valAx>
        <c:axId val="40878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503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Design!PivotTable3</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'Sheets Design'!$B$27</c:f>
              <c:strCache>
                <c:ptCount val="1"/>
                <c:pt idx="0">
                  <c:v>Total</c:v>
                </c:pt>
              </c:strCache>
            </c:strRef>
          </c:tx>
          <c:spPr>
            <a:solidFill>
              <a:schemeClr val="accent1"/>
            </a:solidFill>
            <a:ln>
              <a:noFill/>
            </a:ln>
            <a:effectLst/>
          </c:spPr>
          <c:invertIfNegative val="0"/>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B39E-410D-8802-1D1340662191}"/>
            </c:ext>
          </c:extLst>
        </c:ser>
        <c:dLbls>
          <c:showLegendKey val="0"/>
          <c:showVal val="0"/>
          <c:showCatName val="0"/>
          <c:showSerName val="0"/>
          <c:showPercent val="0"/>
          <c:showBubbleSize val="0"/>
        </c:dLbls>
        <c:gapWidth val="182"/>
        <c:axId val="506030719"/>
        <c:axId val="506020159"/>
      </c:barChart>
      <c:catAx>
        <c:axId val="5060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20159"/>
        <c:crosses val="autoZero"/>
        <c:auto val="1"/>
        <c:lblAlgn val="ctr"/>
        <c:lblOffset val="100"/>
        <c:noMultiLvlLbl val="0"/>
      </c:catAx>
      <c:valAx>
        <c:axId val="506020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307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Design!PivotTable5</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'Sheets Design'!$B$47</c:f>
              <c:strCache>
                <c:ptCount val="1"/>
                <c:pt idx="0">
                  <c:v>Total</c:v>
                </c:pt>
              </c:strCache>
            </c:strRef>
          </c:tx>
          <c:spPr>
            <a:solidFill>
              <a:schemeClr val="accent1"/>
            </a:solidFill>
            <a:ln>
              <a:noFill/>
            </a:ln>
            <a:effectLst/>
          </c:spPr>
          <c:cat>
            <c:strRef>
              <c:f>'Sheets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'Sheets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4325-4283-B2A7-73D54F26C8D9}"/>
            </c:ext>
          </c:extLst>
        </c:ser>
        <c:dLbls>
          <c:showLegendKey val="0"/>
          <c:showVal val="0"/>
          <c:showCatName val="0"/>
          <c:showSerName val="0"/>
          <c:showPercent val="0"/>
          <c:showBubbleSize val="0"/>
        </c:dLbls>
        <c:axId val="1332211375"/>
        <c:axId val="1332211855"/>
      </c:areaChart>
      <c:catAx>
        <c:axId val="133221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11855"/>
        <c:crosses val="autoZero"/>
        <c:auto val="1"/>
        <c:lblAlgn val="ctr"/>
        <c:lblOffset val="100"/>
        <c:noMultiLvlLbl val="0"/>
      </c:catAx>
      <c:valAx>
        <c:axId val="133221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11375"/>
        <c:crosses val="autoZero"/>
        <c:crossBetween val="midCat"/>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'Sheets Design'!$B$60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CDB-4706-8A30-F09C24C115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7CDB-4706-8A30-F09C24C115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7CDB-4706-8A30-F09C24C11570}"/>
              </c:ext>
            </c:extLst>
          </c:dPt>
          <c:cat>
            <c:strRef>
              <c:f>'Sheets Design'!$A$61:$A$63</c:f>
              <c:strCache>
                <c:ptCount val="3"/>
                <c:pt idx="0">
                  <c:v>High</c:v>
                </c:pt>
                <c:pt idx="1">
                  <c:v>Medium</c:v>
                </c:pt>
                <c:pt idx="2">
                  <c:v>Small</c:v>
                </c:pt>
              </c:strCache>
            </c:strRef>
          </c:cat>
          <c:val>
            <c:numRef>
              <c:f>'Sheets Design'!$B$61:$B$63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7CDB-4706-8A30-F09C24C11570}"/>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Design'!$B$81</c:f>
              <c:strCache>
                <c:ptCount val="1"/>
                <c:pt idx="0">
                  <c:v>Total</c:v>
                </c:pt>
              </c:strCache>
            </c:strRef>
          </c:tx>
          <c:spPr>
            <a:solidFill>
              <a:schemeClr val="accent1"/>
            </a:solidFill>
            <a:ln>
              <a:noFill/>
            </a:ln>
            <a:effectLst/>
          </c:spPr>
          <c:invertIfNegative val="0"/>
          <c:cat>
            <c:strRef>
              <c:f>'Sheets Design'!$A$82:$A$85</c:f>
              <c:strCache>
                <c:ptCount val="4"/>
                <c:pt idx="0">
                  <c:v>Grocery Store</c:v>
                </c:pt>
                <c:pt idx="1">
                  <c:v>Supermarket Type3</c:v>
                </c:pt>
                <c:pt idx="2">
                  <c:v>Supermarket Type2</c:v>
                </c:pt>
                <c:pt idx="3">
                  <c:v>Supermarket Type1</c:v>
                </c:pt>
              </c:strCache>
            </c:strRef>
          </c:cat>
          <c:val>
            <c:numRef>
              <c:f>'Sheets Design'!$B$82:$B$85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4E0-4F9D-94CD-5FE4BF29F5CC}"/>
            </c:ext>
          </c:extLst>
        </c:ser>
        <c:dLbls>
          <c:showLegendKey val="0"/>
          <c:showVal val="0"/>
          <c:showCatName val="0"/>
          <c:showSerName val="0"/>
          <c:showPercent val="0"/>
          <c:showBubbleSize val="0"/>
        </c:dLbls>
        <c:gapWidth val="182"/>
        <c:axId val="288111"/>
        <c:axId val="288591"/>
      </c:barChart>
      <c:catAx>
        <c:axId val="2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91"/>
        <c:crosses val="autoZero"/>
        <c:auto val="1"/>
        <c:lblAlgn val="ctr"/>
        <c:lblOffset val="100"/>
        <c:noMultiLvlLbl val="0"/>
      </c:catAx>
      <c:valAx>
        <c:axId val="288591"/>
        <c:scaling>
          <c:orientation val="minMax"/>
        </c:scaling>
        <c:delete val="1"/>
        <c:axPos val="b"/>
        <c:numFmt formatCode="&quot;$&quot;0.0,&quot;K&quot;" sourceLinked="1"/>
        <c:majorTickMark val="none"/>
        <c:minorTickMark val="none"/>
        <c:tickLblPos val="nextTo"/>
        <c:crossAx val="2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chemeClr val="accent1"/>
            </a:solidFill>
            <a:ln>
              <a:noFill/>
            </a:ln>
            <a:effectLst/>
          </c:spPr>
          <c:invertIfNegative val="0"/>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014-46F3-BDCC-A5E5776481E5}"/>
            </c:ext>
          </c:extLst>
        </c:ser>
        <c:dLbls>
          <c:showLegendKey val="0"/>
          <c:showVal val="0"/>
          <c:showCatName val="0"/>
          <c:showSerName val="0"/>
          <c:showPercent val="0"/>
          <c:showBubbleSize val="0"/>
        </c:dLbls>
        <c:gapWidth val="182"/>
        <c:axId val="166403423"/>
        <c:axId val="166428383"/>
      </c:barChart>
      <c:catAx>
        <c:axId val="16640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8383"/>
        <c:crosses val="autoZero"/>
        <c:auto val="1"/>
        <c:lblAlgn val="ctr"/>
        <c:lblOffset val="100"/>
        <c:noMultiLvlLbl val="0"/>
      </c:catAx>
      <c:valAx>
        <c:axId val="166428383"/>
        <c:scaling>
          <c:orientation val="minMax"/>
        </c:scaling>
        <c:delete val="1"/>
        <c:axPos val="b"/>
        <c:numFmt formatCode="&quot;$&quot;0" sourceLinked="1"/>
        <c:majorTickMark val="none"/>
        <c:minorTickMark val="none"/>
        <c:tickLblPos val="nextTo"/>
        <c:crossAx val="166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EA7-4EA6-81E4-1B1A73ED0C52}"/>
            </c:ext>
          </c:extLst>
        </c:ser>
        <c:dLbls>
          <c:showLegendKey val="0"/>
          <c:showVal val="0"/>
          <c:showCatName val="0"/>
          <c:showSerName val="0"/>
          <c:showPercent val="0"/>
          <c:showBubbleSize val="0"/>
        </c:dLbls>
        <c:gapWidth val="182"/>
        <c:axId val="2063778224"/>
        <c:axId val="2063774384"/>
      </c:barChart>
      <c:catAx>
        <c:axId val="206377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774384"/>
        <c:crosses val="autoZero"/>
        <c:auto val="1"/>
        <c:lblAlgn val="ctr"/>
        <c:lblOffset val="100"/>
        <c:noMultiLvlLbl val="0"/>
      </c:catAx>
      <c:valAx>
        <c:axId val="2063774384"/>
        <c:scaling>
          <c:orientation val="minMax"/>
        </c:scaling>
        <c:delete val="1"/>
        <c:axPos val="b"/>
        <c:numFmt formatCode="0" sourceLinked="1"/>
        <c:majorTickMark val="none"/>
        <c:minorTickMark val="none"/>
        <c:tickLblPos val="nextTo"/>
        <c:crossAx val="2063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68229166666656E-2"/>
              <c:y val="0.1676823075360552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1024305555555555"/>
              <c:y val="-8.384115376802768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70225694444446"/>
          <c:y val="0.16856134470851106"/>
          <c:w val="0.68161979166666664"/>
          <c:h val="0.79750761730652042"/>
        </c:manualLayout>
      </c:layout>
      <c:doughnutChart>
        <c:varyColors val="1"/>
        <c:ser>
          <c:idx val="0"/>
          <c:order val="0"/>
          <c:tx>
            <c:strRef>
              <c:f>'Sheets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F2A-4579-8F65-7F743720112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8F2A-4579-8F65-7F7437201121}"/>
              </c:ext>
            </c:extLst>
          </c:dPt>
          <c:dLbls>
            <c:dLbl>
              <c:idx val="0"/>
              <c:layout>
                <c:manualLayout>
                  <c:x val="8.268229166666656E-2"/>
                  <c:y val="0.1676823075360552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2A-4579-8F65-7F7437201121}"/>
                </c:ext>
              </c:extLst>
            </c:dLbl>
            <c:dLbl>
              <c:idx val="1"/>
              <c:layout>
                <c:manualLayout>
                  <c:x val="-0.11024305555555555"/>
                  <c:y val="-8.38411537680276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2A-4579-8F65-7F743720112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8F2A-4579-8F65-7F743720112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5.1645242345246187E-2"/>
              <c:y val="0"/>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54809021758206"/>
                  <c:h val="0.17589693101400697"/>
                </c:manualLayout>
              </c15:layout>
            </c:ext>
          </c:extLst>
        </c:dLbl>
      </c:pivotFmt>
    </c:pivotFmts>
    <c:plotArea>
      <c:layout/>
      <c:barChart>
        <c:barDir val="bar"/>
        <c:grouping val="clustered"/>
        <c:varyColors val="0"/>
        <c:ser>
          <c:idx val="0"/>
          <c:order val="0"/>
          <c:tx>
            <c:strRef>
              <c:f>'Sheets Design'!$B$16:$B$17</c:f>
              <c:strCache>
                <c:ptCount val="1"/>
                <c:pt idx="0">
                  <c:v>Regular</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1330-4CB4-9277-82BF0E57635D}"/>
              </c:ext>
            </c:extLst>
          </c:dPt>
          <c:dLbls>
            <c:dLbl>
              <c:idx val="2"/>
              <c:layout>
                <c:manualLayout>
                  <c:x val="5.1645242345246187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54809021758206"/>
                      <c:h val="0.17589693101400697"/>
                    </c:manualLayout>
                  </c15:layout>
                </c:ext>
                <c:ext xmlns:c16="http://schemas.microsoft.com/office/drawing/2014/chart" uri="{C3380CC4-5D6E-409C-BE32-E72D297353CC}">
                  <c16:uniqueId val="{00000002-1330-4CB4-9277-82BF0E57635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Design'!$A$18:$A$20</c:f>
              <c:strCache>
                <c:ptCount val="3"/>
                <c:pt idx="0">
                  <c:v>Tier 1</c:v>
                </c:pt>
                <c:pt idx="1">
                  <c:v>Tier 2</c:v>
                </c:pt>
                <c:pt idx="2">
                  <c:v>Tier 3</c:v>
                </c:pt>
              </c:strCache>
            </c:strRef>
          </c:cat>
          <c:val>
            <c:numRef>
              <c:f>'Sheets Design'!$B$18:$B$20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1330-4CB4-9277-82BF0E57635D}"/>
            </c:ext>
          </c:extLst>
        </c:ser>
        <c:ser>
          <c:idx val="1"/>
          <c:order val="1"/>
          <c:tx>
            <c:strRef>
              <c:f>'Sheets Design'!$C$16:$C$17</c:f>
              <c:strCache>
                <c:ptCount val="1"/>
                <c:pt idx="0">
                  <c:v>Low Fat</c:v>
                </c:pt>
              </c:strCache>
            </c:strRef>
          </c:tx>
          <c:spPr>
            <a:solidFill>
              <a:srgbClr val="D09E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Design'!$A$18:$A$20</c:f>
              <c:strCache>
                <c:ptCount val="3"/>
                <c:pt idx="0">
                  <c:v>Tier 1</c:v>
                </c:pt>
                <c:pt idx="1">
                  <c:v>Tier 2</c:v>
                </c:pt>
                <c:pt idx="2">
                  <c:v>Tier 3</c:v>
                </c:pt>
              </c:strCache>
            </c:strRef>
          </c:cat>
          <c:val>
            <c:numRef>
              <c:f>'Sheets Design'!$C$18:$C$20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330-4CB4-9277-82BF0E57635D}"/>
            </c:ext>
          </c:extLst>
        </c:ser>
        <c:dLbls>
          <c:dLblPos val="outEnd"/>
          <c:showLegendKey val="0"/>
          <c:showVal val="1"/>
          <c:showCatName val="0"/>
          <c:showSerName val="0"/>
          <c:showPercent val="0"/>
          <c:showBubbleSize val="0"/>
        </c:dLbls>
        <c:gapWidth val="62"/>
        <c:axId val="400250399"/>
        <c:axId val="408782863"/>
      </c:barChart>
      <c:catAx>
        <c:axId val="4002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82863"/>
        <c:crosses val="autoZero"/>
        <c:auto val="1"/>
        <c:lblAlgn val="ctr"/>
        <c:lblOffset val="100"/>
        <c:noMultiLvlLbl val="0"/>
      </c:catAx>
      <c:valAx>
        <c:axId val="40878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503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Design'!$B$28:$B$43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C1D-4B8B-868C-427AEF9204EF}"/>
            </c:ext>
          </c:extLst>
        </c:ser>
        <c:dLbls>
          <c:showLegendKey val="0"/>
          <c:showVal val="0"/>
          <c:showCatName val="0"/>
          <c:showSerName val="0"/>
          <c:showPercent val="0"/>
          <c:showBubbleSize val="0"/>
        </c:dLbls>
        <c:gapWidth val="62"/>
        <c:axId val="506030719"/>
        <c:axId val="506020159"/>
      </c:barChart>
      <c:catAx>
        <c:axId val="5060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06020159"/>
        <c:crosses val="autoZero"/>
        <c:auto val="1"/>
        <c:lblAlgn val="ctr"/>
        <c:lblOffset val="100"/>
        <c:noMultiLvlLbl val="0"/>
      </c:catAx>
      <c:valAx>
        <c:axId val="506020159"/>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0537124802527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9915912845978013E-17"/>
              <c:y val="-0.24486571879936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3.9831825691956026E-17"/>
              <c:y val="-0.25276461295418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7646129541864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6066350710900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7.9663651383912053E-17"/>
              <c:y val="-0.27646129541864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345340272647942E-3"/>
              <c:y val="-0.35545023696682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9225908372827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5932730276782411E-16"/>
              <c:y val="-0.25276461295418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Design'!$B$47</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5B6-47A9-B422-897E875056DD}"/>
              </c:ext>
            </c:extLst>
          </c:dPt>
          <c:dPt>
            <c:idx val="1"/>
            <c:bubble3D val="0"/>
            <c:extLst>
              <c:ext xmlns:c16="http://schemas.microsoft.com/office/drawing/2014/chart" uri="{C3380CC4-5D6E-409C-BE32-E72D297353CC}">
                <c16:uniqueId val="{00000002-35B6-47A9-B422-897E875056DD}"/>
              </c:ext>
            </c:extLst>
          </c:dPt>
          <c:dPt>
            <c:idx val="2"/>
            <c:bubble3D val="0"/>
            <c:extLst>
              <c:ext xmlns:c16="http://schemas.microsoft.com/office/drawing/2014/chart" uri="{C3380CC4-5D6E-409C-BE32-E72D297353CC}">
                <c16:uniqueId val="{00000003-35B6-47A9-B422-897E875056DD}"/>
              </c:ext>
            </c:extLst>
          </c:dPt>
          <c:dPt>
            <c:idx val="3"/>
            <c:bubble3D val="0"/>
            <c:extLst>
              <c:ext xmlns:c16="http://schemas.microsoft.com/office/drawing/2014/chart" uri="{C3380CC4-5D6E-409C-BE32-E72D297353CC}">
                <c16:uniqueId val="{00000004-35B6-47A9-B422-897E875056DD}"/>
              </c:ext>
            </c:extLst>
          </c:dPt>
          <c:dPt>
            <c:idx val="4"/>
            <c:bubble3D val="0"/>
            <c:extLst>
              <c:ext xmlns:c16="http://schemas.microsoft.com/office/drawing/2014/chart" uri="{C3380CC4-5D6E-409C-BE32-E72D297353CC}">
                <c16:uniqueId val="{00000005-35B6-47A9-B422-897E875056DD}"/>
              </c:ext>
            </c:extLst>
          </c:dPt>
          <c:dPt>
            <c:idx val="5"/>
            <c:bubble3D val="0"/>
            <c:extLst>
              <c:ext xmlns:c16="http://schemas.microsoft.com/office/drawing/2014/chart" uri="{C3380CC4-5D6E-409C-BE32-E72D297353CC}">
                <c16:uniqueId val="{00000006-35B6-47A9-B422-897E875056DD}"/>
              </c:ext>
            </c:extLst>
          </c:dPt>
          <c:dPt>
            <c:idx val="6"/>
            <c:bubble3D val="0"/>
            <c:extLst>
              <c:ext xmlns:c16="http://schemas.microsoft.com/office/drawing/2014/chart" uri="{C3380CC4-5D6E-409C-BE32-E72D297353CC}">
                <c16:uniqueId val="{00000007-35B6-47A9-B422-897E875056DD}"/>
              </c:ext>
            </c:extLst>
          </c:dPt>
          <c:dPt>
            <c:idx val="7"/>
            <c:bubble3D val="0"/>
            <c:extLst>
              <c:ext xmlns:c16="http://schemas.microsoft.com/office/drawing/2014/chart" uri="{C3380CC4-5D6E-409C-BE32-E72D297353CC}">
                <c16:uniqueId val="{00000008-35B6-47A9-B422-897E875056DD}"/>
              </c:ext>
            </c:extLst>
          </c:dPt>
          <c:dPt>
            <c:idx val="8"/>
            <c:bubble3D val="0"/>
            <c:extLst>
              <c:ext xmlns:c16="http://schemas.microsoft.com/office/drawing/2014/chart" uri="{C3380CC4-5D6E-409C-BE32-E72D297353CC}">
                <c16:uniqueId val="{00000009-35B6-47A9-B422-897E875056DD}"/>
              </c:ext>
            </c:extLst>
          </c:dPt>
          <c:dLbls>
            <c:dLbl>
              <c:idx val="0"/>
              <c:layout>
                <c:manualLayout>
                  <c:x val="0"/>
                  <c:y val="-0.20537124802527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B6-47A9-B422-897E875056DD}"/>
                </c:ext>
              </c:extLst>
            </c:dLbl>
            <c:dLbl>
              <c:idx val="1"/>
              <c:layout>
                <c:manualLayout>
                  <c:x val="-1.9915912845978013E-17"/>
                  <c:y val="-0.24486571879936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B6-47A9-B422-897E875056DD}"/>
                </c:ext>
              </c:extLst>
            </c:dLbl>
            <c:dLbl>
              <c:idx val="2"/>
              <c:layout>
                <c:manualLayout>
                  <c:x val="-3.9831825691956026E-17"/>
                  <c:y val="-0.25276461295418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B6-47A9-B422-897E875056DD}"/>
                </c:ext>
              </c:extLst>
            </c:dLbl>
            <c:dLbl>
              <c:idx val="3"/>
              <c:layout>
                <c:manualLayout>
                  <c:x val="0"/>
                  <c:y val="-0.2764612954186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B6-47A9-B422-897E875056DD}"/>
                </c:ext>
              </c:extLst>
            </c:dLbl>
            <c:dLbl>
              <c:idx val="4"/>
              <c:layout>
                <c:manualLayout>
                  <c:x val="0"/>
                  <c:y val="-0.26066350710900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B6-47A9-B422-897E875056DD}"/>
                </c:ext>
              </c:extLst>
            </c:dLbl>
            <c:dLbl>
              <c:idx val="5"/>
              <c:layout>
                <c:manualLayout>
                  <c:x val="-7.9663651383912053E-17"/>
                  <c:y val="-0.2764612954186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B6-47A9-B422-897E875056DD}"/>
                </c:ext>
              </c:extLst>
            </c:dLbl>
            <c:dLbl>
              <c:idx val="6"/>
              <c:layout>
                <c:manualLayout>
                  <c:x val="-4.345340272647942E-3"/>
                  <c:y val="-0.35545023696682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B6-47A9-B422-897E875056DD}"/>
                </c:ext>
              </c:extLst>
            </c:dLbl>
            <c:dLbl>
              <c:idx val="7"/>
              <c:layout>
                <c:manualLayout>
                  <c:x val="0"/>
                  <c:y val="-0.29225908372827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5B6-47A9-B422-897E875056DD}"/>
                </c:ext>
              </c:extLst>
            </c:dLbl>
            <c:dLbl>
              <c:idx val="8"/>
              <c:layout>
                <c:manualLayout>
                  <c:x val="-1.5932730276782411E-16"/>
                  <c:y val="-0.2527646129541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5B6-47A9-B422-897E875056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'Sheets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5B6-47A9-B422-897E875056DD}"/>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332211375"/>
        <c:axId val="1332211855"/>
      </c:areaChart>
      <c:catAx>
        <c:axId val="13322113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32211855"/>
        <c:crosses val="autoZero"/>
        <c:auto val="1"/>
        <c:lblAlgn val="ctr"/>
        <c:lblOffset val="100"/>
        <c:noMultiLvlLbl val="0"/>
      </c:catAx>
      <c:valAx>
        <c:axId val="1332211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1332211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203069839152399"/>
              <c:y val="-6.4675312109306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015376208019317"/>
                  <c:h val="0.17423529082247136"/>
                </c:manualLayout>
              </c15:layout>
            </c:ext>
          </c:extLst>
        </c:dLbl>
      </c:pivotFmt>
      <c:pivotFmt>
        <c:idx val="7"/>
        <c:spPr>
          <a:solidFill>
            <a:schemeClr val="accent6">
              <a:lumMod val="75000"/>
            </a:schemeClr>
          </a:solidFill>
          <a:ln w="19050">
            <a:solidFill>
              <a:schemeClr val="lt1"/>
            </a:solidFill>
          </a:ln>
          <a:effectLst/>
        </c:spPr>
        <c:dLbl>
          <c:idx val="0"/>
          <c:layout>
            <c:manualLayout>
              <c:x val="0.21638895988264203"/>
              <c:y val="-5.1740249687445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083336969598744"/>
              <c:y val="-0.161688280273265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996729438996972"/>
          <c:y val="0.18179619128614752"/>
          <c:w val="0.6717320882760569"/>
          <c:h val="0.81820380871385245"/>
        </c:manualLayout>
      </c:layout>
      <c:doughnutChart>
        <c:varyColors val="1"/>
        <c:ser>
          <c:idx val="0"/>
          <c:order val="0"/>
          <c:tx>
            <c:strRef>
              <c:f>'Sheets Design'!$B$60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FEE-439D-A89A-A957200EB7F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FEE-439D-A89A-A957200EB7F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FEE-439D-A89A-A957200EB7F0}"/>
              </c:ext>
            </c:extLst>
          </c:dPt>
          <c:dLbls>
            <c:dLbl>
              <c:idx val="0"/>
              <c:layout>
                <c:manualLayout>
                  <c:x val="0.20203069839152399"/>
                  <c:y val="-6.4675312109306368E-2"/>
                </c:manualLayout>
              </c:layout>
              <c:showLegendKey val="0"/>
              <c:showVal val="1"/>
              <c:showCatName val="0"/>
              <c:showSerName val="0"/>
              <c:showPercent val="1"/>
              <c:showBubbleSize val="0"/>
              <c:extLst>
                <c:ext xmlns:c15="http://schemas.microsoft.com/office/drawing/2012/chart" uri="{CE6537A1-D6FC-4f65-9D91-7224C49458BB}">
                  <c15:layout>
                    <c:manualLayout>
                      <c:w val="0.20015376208019317"/>
                      <c:h val="0.17423529082247136"/>
                    </c:manualLayout>
                  </c15:layout>
                </c:ext>
                <c:ext xmlns:c16="http://schemas.microsoft.com/office/drawing/2014/chart" uri="{C3380CC4-5D6E-409C-BE32-E72D297353CC}">
                  <c16:uniqueId val="{00000001-7FEE-439D-A89A-A957200EB7F0}"/>
                </c:ext>
              </c:extLst>
            </c:dLbl>
            <c:dLbl>
              <c:idx val="1"/>
              <c:layout>
                <c:manualLayout>
                  <c:x val="0.21638895988264203"/>
                  <c:y val="-5.17402496874452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EE-439D-A89A-A957200EB7F0}"/>
                </c:ext>
              </c:extLst>
            </c:dLbl>
            <c:dLbl>
              <c:idx val="2"/>
              <c:layout>
                <c:manualLayout>
                  <c:x val="-0.11083336969598744"/>
                  <c:y val="-0.1616882802732659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EE-439D-A89A-A957200EB7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Design'!$A$61:$A$63</c:f>
              <c:strCache>
                <c:ptCount val="3"/>
                <c:pt idx="0">
                  <c:v>High</c:v>
                </c:pt>
                <c:pt idx="1">
                  <c:v>Medium</c:v>
                </c:pt>
                <c:pt idx="2">
                  <c:v>Small</c:v>
                </c:pt>
              </c:strCache>
            </c:strRef>
          </c:cat>
          <c:val>
            <c:numRef>
              <c:f>'Sheets Design'!$B$61:$B$63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FEE-439D-A89A-A957200EB7F0}"/>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Design'!$A$82:$A$85</c:f>
              <c:strCache>
                <c:ptCount val="4"/>
                <c:pt idx="0">
                  <c:v>Grocery Store</c:v>
                </c:pt>
                <c:pt idx="1">
                  <c:v>Supermarket Type3</c:v>
                </c:pt>
                <c:pt idx="2">
                  <c:v>Supermarket Type2</c:v>
                </c:pt>
                <c:pt idx="3">
                  <c:v>Supermarket Type1</c:v>
                </c:pt>
              </c:strCache>
            </c:strRef>
          </c:cat>
          <c:val>
            <c:numRef>
              <c:f>'Sheets Design'!$B$82:$B$85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4D0-4711-9D07-B2BC6FEA9E95}"/>
            </c:ext>
          </c:extLst>
        </c:ser>
        <c:dLbls>
          <c:dLblPos val="outEnd"/>
          <c:showLegendKey val="0"/>
          <c:showVal val="1"/>
          <c:showCatName val="0"/>
          <c:showSerName val="0"/>
          <c:showPercent val="0"/>
          <c:showBubbleSize val="0"/>
        </c:dLbls>
        <c:gapWidth val="61"/>
        <c:axId val="288111"/>
        <c:axId val="288591"/>
      </c:barChart>
      <c:catAx>
        <c:axId val="2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91"/>
        <c:crosses val="autoZero"/>
        <c:auto val="1"/>
        <c:lblAlgn val="ctr"/>
        <c:lblOffset val="100"/>
        <c:noMultiLvlLbl val="0"/>
      </c:catAx>
      <c:valAx>
        <c:axId val="288591"/>
        <c:scaling>
          <c:orientation val="minMax"/>
        </c:scaling>
        <c:delete val="1"/>
        <c:axPos val="b"/>
        <c:numFmt formatCode="&quot;$&quot;0.0,&quot;K&quot;" sourceLinked="1"/>
        <c:majorTickMark val="none"/>
        <c:minorTickMark val="none"/>
        <c:tickLblPos val="nextTo"/>
        <c:crossAx val="2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AD1-4939-B2FB-081065EBC089}"/>
            </c:ext>
          </c:extLst>
        </c:ser>
        <c:dLbls>
          <c:dLblPos val="outEnd"/>
          <c:showLegendKey val="0"/>
          <c:showVal val="1"/>
          <c:showCatName val="0"/>
          <c:showSerName val="0"/>
          <c:showPercent val="0"/>
          <c:showBubbleSize val="0"/>
        </c:dLbls>
        <c:gapWidth val="61"/>
        <c:axId val="166403423"/>
        <c:axId val="166428383"/>
      </c:barChart>
      <c:catAx>
        <c:axId val="166403423"/>
        <c:scaling>
          <c:orientation val="minMax"/>
        </c:scaling>
        <c:delete val="1"/>
        <c:axPos val="l"/>
        <c:numFmt formatCode="General" sourceLinked="1"/>
        <c:majorTickMark val="none"/>
        <c:minorTickMark val="none"/>
        <c:tickLblPos val="nextTo"/>
        <c:crossAx val="166428383"/>
        <c:crosses val="autoZero"/>
        <c:auto val="1"/>
        <c:lblAlgn val="ctr"/>
        <c:lblOffset val="100"/>
        <c:noMultiLvlLbl val="0"/>
      </c:catAx>
      <c:valAx>
        <c:axId val="166428383"/>
        <c:scaling>
          <c:orientation val="minMax"/>
        </c:scaling>
        <c:delete val="1"/>
        <c:axPos val="b"/>
        <c:numFmt formatCode="&quot;$&quot;0" sourceLinked="1"/>
        <c:majorTickMark val="none"/>
        <c:minorTickMark val="none"/>
        <c:tickLblPos val="nextTo"/>
        <c:crossAx val="166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Data.csv.xlsx]Sheets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2E1-4DE2-BF30-ECEBB0754105}"/>
            </c:ext>
          </c:extLst>
        </c:ser>
        <c:dLbls>
          <c:showLegendKey val="0"/>
          <c:showVal val="0"/>
          <c:showCatName val="0"/>
          <c:showSerName val="0"/>
          <c:showPercent val="0"/>
          <c:showBubbleSize val="0"/>
        </c:dLbls>
        <c:gapWidth val="60"/>
        <c:axId val="2063778224"/>
        <c:axId val="2063774384"/>
      </c:barChart>
      <c:catAx>
        <c:axId val="2063778224"/>
        <c:scaling>
          <c:orientation val="minMax"/>
        </c:scaling>
        <c:delete val="1"/>
        <c:axPos val="l"/>
        <c:numFmt formatCode="General" sourceLinked="1"/>
        <c:majorTickMark val="none"/>
        <c:minorTickMark val="none"/>
        <c:tickLblPos val="nextTo"/>
        <c:crossAx val="2063774384"/>
        <c:crosses val="autoZero"/>
        <c:auto val="1"/>
        <c:lblAlgn val="ctr"/>
        <c:lblOffset val="100"/>
        <c:noMultiLvlLbl val="0"/>
      </c:catAx>
      <c:valAx>
        <c:axId val="2063774384"/>
        <c:scaling>
          <c:orientation val="minMax"/>
        </c:scaling>
        <c:delete val="1"/>
        <c:axPos val="b"/>
        <c:numFmt formatCode="0" sourceLinked="1"/>
        <c:majorTickMark val="none"/>
        <c:minorTickMark val="none"/>
        <c:tickLblPos val="nextTo"/>
        <c:crossAx val="2063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5F77EA3-954F-491F-A3DA-1E67A9713D5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5F77EA3-954F-491F-A3DA-1E67A9713D5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7</xdr:col>
      <xdr:colOff>434340</xdr:colOff>
      <xdr:row>5</xdr:row>
      <xdr:rowOff>91441</xdr:rowOff>
    </xdr:from>
    <xdr:to>
      <xdr:col>10</xdr:col>
      <xdr:colOff>411480</xdr:colOff>
      <xdr:row>12</xdr:row>
      <xdr:rowOff>68581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60814F0-2878-11DC-91EC-F6B5C2018B4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096000" y="1051561"/>
              <a:ext cx="180594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152400</xdr:colOff>
      <xdr:row>9</xdr:row>
      <xdr:rowOff>0</xdr:rowOff>
    </xdr:from>
    <xdr:to>
      <xdr:col>6</xdr:col>
      <xdr:colOff>76200</xdr:colOff>
      <xdr:row>13</xdr:row>
      <xdr:rowOff>45720</xdr:rowOff>
    </xdr:to>
    <xdr:graphicFrame macro="">
      <xdr:nvGraphicFramePr>
        <xdr:cNvPr id="3" name="Chart 2">
          <a:extLst>
            <a:ext uri="{FF2B5EF4-FFF2-40B4-BE49-F238E27FC236}">
              <a16:creationId xmlns:a16="http://schemas.microsoft.com/office/drawing/2014/main" id="{CC6DCEA7-62C6-25DD-820F-D2FFBC60E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15</xdr:row>
      <xdr:rowOff>41910</xdr:rowOff>
    </xdr:from>
    <xdr:to>
      <xdr:col>5</xdr:col>
      <xdr:colOff>129540</xdr:colOff>
      <xdr:row>22</xdr:row>
      <xdr:rowOff>144780</xdr:rowOff>
    </xdr:to>
    <xdr:graphicFrame macro="">
      <xdr:nvGraphicFramePr>
        <xdr:cNvPr id="4" name="Chart 3">
          <a:extLst>
            <a:ext uri="{FF2B5EF4-FFF2-40B4-BE49-F238E27FC236}">
              <a16:creationId xmlns:a16="http://schemas.microsoft.com/office/drawing/2014/main" id="{0858FFAF-3DE4-3608-9ED2-DC238E810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28</xdr:row>
      <xdr:rowOff>179070</xdr:rowOff>
    </xdr:from>
    <xdr:to>
      <xdr:col>6</xdr:col>
      <xdr:colOff>182880</xdr:colOff>
      <xdr:row>38</xdr:row>
      <xdr:rowOff>91440</xdr:rowOff>
    </xdr:to>
    <xdr:graphicFrame macro="">
      <xdr:nvGraphicFramePr>
        <xdr:cNvPr id="5" name="Chart 4">
          <a:extLst>
            <a:ext uri="{FF2B5EF4-FFF2-40B4-BE49-F238E27FC236}">
              <a16:creationId xmlns:a16="http://schemas.microsoft.com/office/drawing/2014/main" id="{4C150413-DBAF-FEC6-C368-51A3F2558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46</xdr:row>
      <xdr:rowOff>175260</xdr:rowOff>
    </xdr:from>
    <xdr:to>
      <xdr:col>6</xdr:col>
      <xdr:colOff>464820</xdr:colOff>
      <xdr:row>55</xdr:row>
      <xdr:rowOff>129540</xdr:rowOff>
    </xdr:to>
    <xdr:graphicFrame macro="">
      <xdr:nvGraphicFramePr>
        <xdr:cNvPr id="6" name="Chart 5">
          <a:extLst>
            <a:ext uri="{FF2B5EF4-FFF2-40B4-BE49-F238E27FC236}">
              <a16:creationId xmlns:a16="http://schemas.microsoft.com/office/drawing/2014/main" id="{50B8E89F-B4D2-3B9A-D886-BFC8CBAE0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xdr:colOff>
      <xdr:row>59</xdr:row>
      <xdr:rowOff>38100</xdr:rowOff>
    </xdr:from>
    <xdr:to>
      <xdr:col>4</xdr:col>
      <xdr:colOff>0</xdr:colOff>
      <xdr:row>66</xdr:row>
      <xdr:rowOff>22860</xdr:rowOff>
    </xdr:to>
    <xdr:graphicFrame macro="">
      <xdr:nvGraphicFramePr>
        <xdr:cNvPr id="7" name="Chart 6">
          <a:extLst>
            <a:ext uri="{FF2B5EF4-FFF2-40B4-BE49-F238E27FC236}">
              <a16:creationId xmlns:a16="http://schemas.microsoft.com/office/drawing/2014/main" id="{2B1BE30F-E238-7B44-53FF-903CAA6B2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68580</xdr:colOff>
      <xdr:row>68</xdr:row>
      <xdr:rowOff>209550</xdr:rowOff>
    </xdr:from>
    <xdr:to>
      <xdr:col>7</xdr:col>
      <xdr:colOff>541020</xdr:colOff>
      <xdr:row>75</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AEB945F-BD6B-BAB6-6CC0-3C92CCC604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96740" y="13064490"/>
              <a:ext cx="1691640" cy="11315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129540</xdr:colOff>
      <xdr:row>79</xdr:row>
      <xdr:rowOff>175260</xdr:rowOff>
    </xdr:from>
    <xdr:to>
      <xdr:col>5</xdr:col>
      <xdr:colOff>594360</xdr:colOff>
      <xdr:row>86</xdr:row>
      <xdr:rowOff>0</xdr:rowOff>
    </xdr:to>
    <xdr:graphicFrame macro="">
      <xdr:nvGraphicFramePr>
        <xdr:cNvPr id="9" name="Chart 8">
          <a:extLst>
            <a:ext uri="{FF2B5EF4-FFF2-40B4-BE49-F238E27FC236}">
              <a16:creationId xmlns:a16="http://schemas.microsoft.com/office/drawing/2014/main" id="{AB91391B-4BEC-4868-CF06-97FF1B242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137160</xdr:colOff>
      <xdr:row>86</xdr:row>
      <xdr:rowOff>182880</xdr:rowOff>
    </xdr:from>
    <xdr:to>
      <xdr:col>5</xdr:col>
      <xdr:colOff>594360</xdr:colOff>
      <xdr:row>92</xdr:row>
      <xdr:rowOff>83820</xdr:rowOff>
    </xdr:to>
    <xdr:graphicFrame macro="">
      <xdr:nvGraphicFramePr>
        <xdr:cNvPr id="13" name="Chart 9">
          <a:extLst>
            <a:ext uri="{FF2B5EF4-FFF2-40B4-BE49-F238E27FC236}">
              <a16:creationId xmlns:a16="http://schemas.microsoft.com/office/drawing/2014/main" id="{896E5F73-DA7C-B286-3D9E-3BA001A2F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160020</xdr:colOff>
      <xdr:row>93</xdr:row>
      <xdr:rowOff>152400</xdr:rowOff>
    </xdr:from>
    <xdr:to>
      <xdr:col>6</xdr:col>
      <xdr:colOff>7620</xdr:colOff>
      <xdr:row>99</xdr:row>
      <xdr:rowOff>0</xdr:rowOff>
    </xdr:to>
    <xdr:graphicFrame macro="">
      <xdr:nvGraphicFramePr>
        <xdr:cNvPr id="14" name="Chart 13">
          <a:extLst>
            <a:ext uri="{FF2B5EF4-FFF2-40B4-BE49-F238E27FC236}">
              <a16:creationId xmlns:a16="http://schemas.microsoft.com/office/drawing/2014/main" id="{E4FD9EB7-A10C-E29B-6F17-8B6E90838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472440</xdr:colOff>
      <xdr:row>77</xdr:row>
      <xdr:rowOff>114301</xdr:rowOff>
    </xdr:from>
    <xdr:to>
      <xdr:col>15</xdr:col>
      <xdr:colOff>472440</xdr:colOff>
      <xdr:row>84</xdr:row>
      <xdr:rowOff>1</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33C5DEEC-500C-EF2E-932F-17B90C12114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067800" y="1468374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441960</xdr:colOff>
      <xdr:row>79</xdr:row>
      <xdr:rowOff>99060</xdr:rowOff>
    </xdr:from>
    <xdr:to>
      <xdr:col>11</xdr:col>
      <xdr:colOff>441960</xdr:colOff>
      <xdr:row>102</xdr:row>
      <xdr:rowOff>22860</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F09C497F-A8AF-3287-A8B0-2B1A5142626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598920" y="15079980"/>
              <a:ext cx="1828800" cy="4206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160421</xdr:colOff>
      <xdr:row>0</xdr:row>
      <xdr:rowOff>91440</xdr:rowOff>
    </xdr:from>
    <xdr:to>
      <xdr:col>26</xdr:col>
      <xdr:colOff>601578</xdr:colOff>
      <xdr:row>43</xdr:row>
      <xdr:rowOff>52198</xdr:rowOff>
    </xdr:to>
    <xdr:sp macro="" textlink="">
      <xdr:nvSpPr>
        <xdr:cNvPr id="2" name="Rectangle 1">
          <a:extLst>
            <a:ext uri="{FF2B5EF4-FFF2-40B4-BE49-F238E27FC236}">
              <a16:creationId xmlns:a16="http://schemas.microsoft.com/office/drawing/2014/main" id="{74040AE3-ADF3-66E8-8FA0-9E055B6E5A16}"/>
            </a:ext>
          </a:extLst>
        </xdr:cNvPr>
        <xdr:cNvSpPr/>
      </xdr:nvSpPr>
      <xdr:spPr>
        <a:xfrm>
          <a:off x="1995237" y="91440"/>
          <a:ext cx="14508078" cy="772112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290763</xdr:colOff>
      <xdr:row>1</xdr:row>
      <xdr:rowOff>30081</xdr:rowOff>
    </xdr:from>
    <xdr:to>
      <xdr:col>7</xdr:col>
      <xdr:colOff>120316</xdr:colOff>
      <xdr:row>42</xdr:row>
      <xdr:rowOff>110293</xdr:rowOff>
    </xdr:to>
    <xdr:sp macro="" textlink="">
      <xdr:nvSpPr>
        <xdr:cNvPr id="3" name="Rectangle: Top Corners Rounded 2">
          <a:extLst>
            <a:ext uri="{FF2B5EF4-FFF2-40B4-BE49-F238E27FC236}">
              <a16:creationId xmlns:a16="http://schemas.microsoft.com/office/drawing/2014/main" id="{01505FF1-78E3-4AD9-C60C-8AF87F24EB14}"/>
            </a:ext>
          </a:extLst>
        </xdr:cNvPr>
        <xdr:cNvSpPr/>
      </xdr:nvSpPr>
      <xdr:spPr>
        <a:xfrm rot="5400000">
          <a:off x="-476251" y="2812385"/>
          <a:ext cx="7479633" cy="2275974"/>
        </a:xfrm>
        <a:prstGeom prst="round2SameRect">
          <a:avLst>
            <a:gd name="adj1" fmla="val 11381"/>
            <a:gd name="adj2" fmla="val 0"/>
          </a:avLst>
        </a:prstGeom>
        <a:solidFill>
          <a:srgbClr val="FFD200"/>
        </a:solidFill>
        <a:ln>
          <a:noFill/>
        </a:ln>
        <a:effectLst>
          <a:outerShdw blurRad="50800" dist="38100" dir="2700000" algn="tl" rotWithShape="0">
            <a:prstClr val="black">
              <a:alpha val="6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461211</xdr:colOff>
      <xdr:row>1</xdr:row>
      <xdr:rowOff>170447</xdr:rowOff>
    </xdr:from>
    <xdr:to>
      <xdr:col>6</xdr:col>
      <xdr:colOff>531395</xdr:colOff>
      <xdr:row>5</xdr:row>
      <xdr:rowOff>0</xdr:rowOff>
    </xdr:to>
    <xdr:sp macro="" textlink="">
      <xdr:nvSpPr>
        <xdr:cNvPr id="4" name="TextBox 3">
          <a:extLst>
            <a:ext uri="{FF2B5EF4-FFF2-40B4-BE49-F238E27FC236}">
              <a16:creationId xmlns:a16="http://schemas.microsoft.com/office/drawing/2014/main" id="{D575D834-08A0-8141-3ED5-606D5F2398F2}"/>
            </a:ext>
          </a:extLst>
        </xdr:cNvPr>
        <xdr:cNvSpPr txBox="1"/>
      </xdr:nvSpPr>
      <xdr:spPr>
        <a:xfrm>
          <a:off x="2296027" y="350921"/>
          <a:ext cx="1905000" cy="55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543427</xdr:colOff>
      <xdr:row>4</xdr:row>
      <xdr:rowOff>72189</xdr:rowOff>
    </xdr:from>
    <xdr:to>
      <xdr:col>6</xdr:col>
      <xdr:colOff>471237</xdr:colOff>
      <xdr:row>6</xdr:row>
      <xdr:rowOff>90237</xdr:rowOff>
    </xdr:to>
    <xdr:sp macro="" textlink="">
      <xdr:nvSpPr>
        <xdr:cNvPr id="6" name="TextBox 5">
          <a:extLst>
            <a:ext uri="{FF2B5EF4-FFF2-40B4-BE49-F238E27FC236}">
              <a16:creationId xmlns:a16="http://schemas.microsoft.com/office/drawing/2014/main" id="{00859AE0-BE07-457A-B975-6694AAAB9862}"/>
            </a:ext>
          </a:extLst>
        </xdr:cNvPr>
        <xdr:cNvSpPr txBox="1"/>
      </xdr:nvSpPr>
      <xdr:spPr>
        <a:xfrm>
          <a:off x="2378243" y="794084"/>
          <a:ext cx="1762626" cy="37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India's</a:t>
          </a:r>
          <a:r>
            <a:rPr lang="en-US" sz="1200" b="1" baseline="0">
              <a:solidFill>
                <a:schemeClr val="dk1"/>
              </a:solidFill>
              <a:latin typeface="Aptos Display" panose="020B0004020202020204" pitchFamily="34" charset="0"/>
              <a:ea typeface="Segoe UI Black" panose="020B0A02040204020203" pitchFamily="34" charset="0"/>
            </a:rPr>
            <a:t> last minute app</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7</xdr:col>
      <xdr:colOff>302794</xdr:colOff>
      <xdr:row>1</xdr:row>
      <xdr:rowOff>61160</xdr:rowOff>
    </xdr:from>
    <xdr:to>
      <xdr:col>16</xdr:col>
      <xdr:colOff>269708</xdr:colOff>
      <xdr:row>13</xdr:row>
      <xdr:rowOff>150393</xdr:rowOff>
    </xdr:to>
    <xdr:grpSp>
      <xdr:nvGrpSpPr>
        <xdr:cNvPr id="11" name="Group 10">
          <a:extLst>
            <a:ext uri="{FF2B5EF4-FFF2-40B4-BE49-F238E27FC236}">
              <a16:creationId xmlns:a16="http://schemas.microsoft.com/office/drawing/2014/main" id="{383F4479-F3FA-D60C-8C76-3195C368F835}"/>
            </a:ext>
          </a:extLst>
        </xdr:cNvPr>
        <xdr:cNvGrpSpPr/>
      </xdr:nvGrpSpPr>
      <xdr:grpSpPr>
        <a:xfrm>
          <a:off x="4584031" y="241634"/>
          <a:ext cx="5471361" cy="2254917"/>
          <a:chOff x="4584031" y="241634"/>
          <a:chExt cx="5471361" cy="2254917"/>
        </a:xfrm>
      </xdr:grpSpPr>
      <xdr:sp macro="" textlink="">
        <xdr:nvSpPr>
          <xdr:cNvPr id="7" name="Rectangle: Rounded Corners 6">
            <a:extLst>
              <a:ext uri="{FF2B5EF4-FFF2-40B4-BE49-F238E27FC236}">
                <a16:creationId xmlns:a16="http://schemas.microsoft.com/office/drawing/2014/main" id="{038B1EE4-0535-940D-43DA-AE48F0846EAE}"/>
              </a:ext>
            </a:extLst>
          </xdr:cNvPr>
          <xdr:cNvSpPr/>
        </xdr:nvSpPr>
        <xdr:spPr>
          <a:xfrm>
            <a:off x="4584031" y="241634"/>
            <a:ext cx="2646948" cy="1042736"/>
          </a:xfrm>
          <a:prstGeom prst="roundRect">
            <a:avLst>
              <a:gd name="adj" fmla="val 11859"/>
            </a:avLst>
          </a:prstGeom>
          <a:gradFill flip="none" rotWithShape="1">
            <a:gsLst>
              <a:gs pos="0">
                <a:srgbClr val="FFD200">
                  <a:alpha val="60000"/>
                </a:srgbClr>
              </a:gs>
              <a:gs pos="49000">
                <a:schemeClr val="accent6">
                  <a:lumMod val="75000"/>
                  <a:alpha val="40000"/>
                </a:schemeClr>
              </a:gs>
            </a:gsLst>
            <a:lin ang="0" scaled="1"/>
            <a:tileRect/>
          </a:gra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728F9810-28E8-4BEC-ADD0-95DB1FC38059}"/>
              </a:ext>
            </a:extLst>
          </xdr:cNvPr>
          <xdr:cNvSpPr/>
        </xdr:nvSpPr>
        <xdr:spPr>
          <a:xfrm>
            <a:off x="7408444" y="241634"/>
            <a:ext cx="2646948" cy="1042736"/>
          </a:xfrm>
          <a:prstGeom prst="roundRect">
            <a:avLst>
              <a:gd name="adj" fmla="val 11859"/>
            </a:avLst>
          </a:prstGeom>
          <a:solidFill>
            <a:srgbClr val="FAFAFA"/>
          </a:soli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49410BA-45ED-47C1-A210-876BB69F07E9}"/>
              </a:ext>
            </a:extLst>
          </xdr:cNvPr>
          <xdr:cNvSpPr/>
        </xdr:nvSpPr>
        <xdr:spPr>
          <a:xfrm>
            <a:off x="4584031" y="1453815"/>
            <a:ext cx="2646948" cy="1042736"/>
          </a:xfrm>
          <a:prstGeom prst="roundRect">
            <a:avLst>
              <a:gd name="adj" fmla="val 11859"/>
            </a:avLst>
          </a:prstGeom>
          <a:solidFill>
            <a:srgbClr val="FAFAFA"/>
          </a:soli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90561A36-F4EC-4BDE-839A-E77395D71535}"/>
              </a:ext>
            </a:extLst>
          </xdr:cNvPr>
          <xdr:cNvSpPr/>
        </xdr:nvSpPr>
        <xdr:spPr>
          <a:xfrm>
            <a:off x="7408444" y="1453815"/>
            <a:ext cx="2646948" cy="1042736"/>
          </a:xfrm>
          <a:prstGeom prst="roundRect">
            <a:avLst>
              <a:gd name="adj" fmla="val 11859"/>
            </a:avLst>
          </a:prstGeom>
          <a:solidFill>
            <a:srgbClr val="FAFAFA"/>
          </a:soli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517358</xdr:colOff>
      <xdr:row>2</xdr:row>
      <xdr:rowOff>45119</xdr:rowOff>
    </xdr:from>
    <xdr:to>
      <xdr:col>10</xdr:col>
      <xdr:colOff>6017</xdr:colOff>
      <xdr:row>5</xdr:row>
      <xdr:rowOff>5014</xdr:rowOff>
    </xdr:to>
    <xdr:sp macro="" textlink="'Sheets Design'!$A$7">
      <xdr:nvSpPr>
        <xdr:cNvPr id="12" name="TextBox 11">
          <a:extLst>
            <a:ext uri="{FF2B5EF4-FFF2-40B4-BE49-F238E27FC236}">
              <a16:creationId xmlns:a16="http://schemas.microsoft.com/office/drawing/2014/main" id="{4451A62B-44F3-8A0D-35DD-FCE57DE42DE7}"/>
            </a:ext>
          </a:extLst>
        </xdr:cNvPr>
        <xdr:cNvSpPr txBox="1"/>
      </xdr:nvSpPr>
      <xdr:spPr>
        <a:xfrm>
          <a:off x="4798595" y="406066"/>
          <a:ext cx="1323475"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643DDA-DEBA-470E-8826-1EF9A29033C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421106</xdr:colOff>
      <xdr:row>9</xdr:row>
      <xdr:rowOff>70183</xdr:rowOff>
    </xdr:from>
    <xdr:to>
      <xdr:col>6</xdr:col>
      <xdr:colOff>415090</xdr:colOff>
      <xdr:row>16</xdr:row>
      <xdr:rowOff>147986</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4F8F10CC-A025-440C-A3CE-61C2B778287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55922" y="1694446"/>
              <a:ext cx="1828800" cy="1341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517359</xdr:colOff>
      <xdr:row>4</xdr:row>
      <xdr:rowOff>95750</xdr:rowOff>
    </xdr:from>
    <xdr:to>
      <xdr:col>9</xdr:col>
      <xdr:colOff>465222</xdr:colOff>
      <xdr:row>6</xdr:row>
      <xdr:rowOff>35593</xdr:rowOff>
    </xdr:to>
    <xdr:sp macro="" textlink="">
      <xdr:nvSpPr>
        <xdr:cNvPr id="14" name="TextBox 13">
          <a:extLst>
            <a:ext uri="{FF2B5EF4-FFF2-40B4-BE49-F238E27FC236}">
              <a16:creationId xmlns:a16="http://schemas.microsoft.com/office/drawing/2014/main" id="{1C352386-E3D4-4270-B080-F2C0278A49C6}"/>
            </a:ext>
          </a:extLst>
        </xdr:cNvPr>
        <xdr:cNvSpPr txBox="1"/>
      </xdr:nvSpPr>
      <xdr:spPr>
        <a:xfrm>
          <a:off x="4798596" y="817645"/>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TOTAL</a:t>
          </a:r>
          <a:r>
            <a:rPr lang="en-US" sz="1200" b="1" baseline="0">
              <a:solidFill>
                <a:schemeClr val="dk1"/>
              </a:solidFill>
              <a:latin typeface="Aptos Display" panose="020B0004020202020204" pitchFamily="34" charset="0"/>
              <a:ea typeface="Segoe UI Black" panose="020B0A02040204020203" pitchFamily="34" charset="0"/>
            </a:rPr>
            <a:t> SALES</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279735</xdr:colOff>
      <xdr:row>2</xdr:row>
      <xdr:rowOff>45119</xdr:rowOff>
    </xdr:from>
    <xdr:to>
      <xdr:col>14</xdr:col>
      <xdr:colOff>79208</xdr:colOff>
      <xdr:row>5</xdr:row>
      <xdr:rowOff>5014</xdr:rowOff>
    </xdr:to>
    <xdr:sp macro="" textlink="'Sheets Design'!B7">
      <xdr:nvSpPr>
        <xdr:cNvPr id="16" name="TextBox 15">
          <a:extLst>
            <a:ext uri="{FF2B5EF4-FFF2-40B4-BE49-F238E27FC236}">
              <a16:creationId xmlns:a16="http://schemas.microsoft.com/office/drawing/2014/main" id="{275D259C-BE07-48E8-BB5A-DF55AAF42581}"/>
            </a:ext>
          </a:extLst>
        </xdr:cNvPr>
        <xdr:cNvSpPr txBox="1"/>
      </xdr:nvSpPr>
      <xdr:spPr>
        <a:xfrm>
          <a:off x="7618998" y="406066"/>
          <a:ext cx="1022684"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6852D4-F232-4B8E-8B92-1A534188870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220580</xdr:colOff>
      <xdr:row>4</xdr:row>
      <xdr:rowOff>95750</xdr:rowOff>
    </xdr:from>
    <xdr:to>
      <xdr:col>14</xdr:col>
      <xdr:colOff>168442</xdr:colOff>
      <xdr:row>6</xdr:row>
      <xdr:rowOff>35593</xdr:rowOff>
    </xdr:to>
    <xdr:sp macro="" textlink="">
      <xdr:nvSpPr>
        <xdr:cNvPr id="17" name="TextBox 16">
          <a:extLst>
            <a:ext uri="{FF2B5EF4-FFF2-40B4-BE49-F238E27FC236}">
              <a16:creationId xmlns:a16="http://schemas.microsoft.com/office/drawing/2014/main" id="{D81BC40A-7B3A-4CA7-B323-26E443852E2A}"/>
            </a:ext>
          </a:extLst>
        </xdr:cNvPr>
        <xdr:cNvSpPr txBox="1"/>
      </xdr:nvSpPr>
      <xdr:spPr>
        <a:xfrm>
          <a:off x="7559843" y="817645"/>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AVG</a:t>
          </a:r>
          <a:r>
            <a:rPr lang="en-US" sz="1200" b="1" baseline="0">
              <a:solidFill>
                <a:schemeClr val="dk1"/>
              </a:solidFill>
              <a:latin typeface="Aptos Display" panose="020B0004020202020204" pitchFamily="34" charset="0"/>
              <a:ea typeface="Segoe UI Black" panose="020B0A02040204020203" pitchFamily="34" charset="0"/>
            </a:rPr>
            <a:t> SALES</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56148</xdr:colOff>
      <xdr:row>8</xdr:row>
      <xdr:rowOff>38100</xdr:rowOff>
    </xdr:from>
    <xdr:to>
      <xdr:col>9</xdr:col>
      <xdr:colOff>467227</xdr:colOff>
      <xdr:row>10</xdr:row>
      <xdr:rowOff>178468</xdr:rowOff>
    </xdr:to>
    <xdr:sp macro="" textlink="'Sheets Design'!C7">
      <xdr:nvSpPr>
        <xdr:cNvPr id="18" name="TextBox 17">
          <a:extLst>
            <a:ext uri="{FF2B5EF4-FFF2-40B4-BE49-F238E27FC236}">
              <a16:creationId xmlns:a16="http://schemas.microsoft.com/office/drawing/2014/main" id="{FADA4EDA-F2E7-41AA-ADE8-14F2D538433E}"/>
            </a:ext>
          </a:extLst>
        </xdr:cNvPr>
        <xdr:cNvSpPr txBox="1"/>
      </xdr:nvSpPr>
      <xdr:spPr>
        <a:xfrm>
          <a:off x="4948990" y="1481889"/>
          <a:ext cx="1022684"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F6E415-9477-412B-BE59-6DE2789F73D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517359</xdr:colOff>
      <xdr:row>10</xdr:row>
      <xdr:rowOff>93745</xdr:rowOff>
    </xdr:from>
    <xdr:to>
      <xdr:col>9</xdr:col>
      <xdr:colOff>465222</xdr:colOff>
      <xdr:row>12</xdr:row>
      <xdr:rowOff>33588</xdr:rowOff>
    </xdr:to>
    <xdr:sp macro="" textlink="">
      <xdr:nvSpPr>
        <xdr:cNvPr id="19" name="TextBox 18">
          <a:extLst>
            <a:ext uri="{FF2B5EF4-FFF2-40B4-BE49-F238E27FC236}">
              <a16:creationId xmlns:a16="http://schemas.microsoft.com/office/drawing/2014/main" id="{C16C453B-B040-46D8-9139-AD515EAE95ED}"/>
            </a:ext>
          </a:extLst>
        </xdr:cNvPr>
        <xdr:cNvSpPr txBox="1"/>
      </xdr:nvSpPr>
      <xdr:spPr>
        <a:xfrm>
          <a:off x="4798596" y="1898482"/>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NO</a:t>
          </a:r>
          <a:r>
            <a:rPr lang="en-US" sz="1200" b="1" baseline="0">
              <a:solidFill>
                <a:schemeClr val="dk1"/>
              </a:solidFill>
              <a:latin typeface="Aptos Display" panose="020B0004020202020204" pitchFamily="34" charset="0"/>
              <a:ea typeface="Segoe UI Black" panose="020B0A02040204020203" pitchFamily="34" charset="0"/>
            </a:rPr>
            <a:t> OF ITEMS</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279735</xdr:colOff>
      <xdr:row>8</xdr:row>
      <xdr:rowOff>38100</xdr:rowOff>
    </xdr:from>
    <xdr:to>
      <xdr:col>14</xdr:col>
      <xdr:colOff>79208</xdr:colOff>
      <xdr:row>10</xdr:row>
      <xdr:rowOff>178468</xdr:rowOff>
    </xdr:to>
    <xdr:sp macro="" textlink="'Sheets Design'!D7">
      <xdr:nvSpPr>
        <xdr:cNvPr id="20" name="TextBox 19">
          <a:extLst>
            <a:ext uri="{FF2B5EF4-FFF2-40B4-BE49-F238E27FC236}">
              <a16:creationId xmlns:a16="http://schemas.microsoft.com/office/drawing/2014/main" id="{3B2AEED6-792E-4938-9B23-40CC5BC4F785}"/>
            </a:ext>
          </a:extLst>
        </xdr:cNvPr>
        <xdr:cNvSpPr txBox="1"/>
      </xdr:nvSpPr>
      <xdr:spPr>
        <a:xfrm>
          <a:off x="7618998" y="1481889"/>
          <a:ext cx="1022684"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CAB662-711C-4279-8230-52DCC886DB9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220580</xdr:colOff>
      <xdr:row>10</xdr:row>
      <xdr:rowOff>93745</xdr:rowOff>
    </xdr:from>
    <xdr:to>
      <xdr:col>14</xdr:col>
      <xdr:colOff>168442</xdr:colOff>
      <xdr:row>12</xdr:row>
      <xdr:rowOff>33588</xdr:rowOff>
    </xdr:to>
    <xdr:sp macro="" textlink="">
      <xdr:nvSpPr>
        <xdr:cNvPr id="22" name="TextBox 21">
          <a:extLst>
            <a:ext uri="{FF2B5EF4-FFF2-40B4-BE49-F238E27FC236}">
              <a16:creationId xmlns:a16="http://schemas.microsoft.com/office/drawing/2014/main" id="{2A03E0F5-9D0F-4D29-9C58-27467F2A09E8}"/>
            </a:ext>
          </a:extLst>
        </xdr:cNvPr>
        <xdr:cNvSpPr txBox="1"/>
      </xdr:nvSpPr>
      <xdr:spPr>
        <a:xfrm>
          <a:off x="7559843" y="1898482"/>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AVG</a:t>
          </a:r>
          <a:r>
            <a:rPr lang="en-US" sz="1200" b="1" baseline="0">
              <a:solidFill>
                <a:schemeClr val="dk1"/>
              </a:solidFill>
              <a:latin typeface="Aptos Display" panose="020B0004020202020204" pitchFamily="34" charset="0"/>
              <a:ea typeface="Segoe UI Black" panose="020B0A02040204020203" pitchFamily="34" charset="0"/>
            </a:rPr>
            <a:t> RATING</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15</xdr:col>
      <xdr:colOff>551448</xdr:colOff>
      <xdr:row>1</xdr:row>
      <xdr:rowOff>140367</xdr:rowOff>
    </xdr:from>
    <xdr:to>
      <xdr:col>16</xdr:col>
      <xdr:colOff>204784</xdr:colOff>
      <xdr:row>3</xdr:row>
      <xdr:rowOff>40105</xdr:rowOff>
    </xdr:to>
    <xdr:pic>
      <xdr:nvPicPr>
        <xdr:cNvPr id="23" name="Picture 22">
          <a:extLst>
            <a:ext uri="{FF2B5EF4-FFF2-40B4-BE49-F238E27FC236}">
              <a16:creationId xmlns:a16="http://schemas.microsoft.com/office/drawing/2014/main" id="{EF76E6AC-B018-1D1F-6BAB-42A5EA991F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25527" y="320841"/>
          <a:ext cx="264941" cy="260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110292</xdr:colOff>
      <xdr:row>8</xdr:row>
      <xdr:rowOff>70185</xdr:rowOff>
    </xdr:from>
    <xdr:to>
      <xdr:col>11</xdr:col>
      <xdr:colOff>360948</xdr:colOff>
      <xdr:row>9</xdr:row>
      <xdr:rowOff>136340</xdr:rowOff>
    </xdr:to>
    <xdr:pic>
      <xdr:nvPicPr>
        <xdr:cNvPr id="24" name="Picture 23">
          <a:extLst>
            <a:ext uri="{FF2B5EF4-FFF2-40B4-BE49-F238E27FC236}">
              <a16:creationId xmlns:a16="http://schemas.microsoft.com/office/drawing/2014/main" id="{325C92E1-387A-796B-3812-F38F66271C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37950" y="1513974"/>
          <a:ext cx="250656" cy="246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481265</xdr:colOff>
      <xdr:row>8</xdr:row>
      <xdr:rowOff>60160</xdr:rowOff>
    </xdr:from>
    <xdr:to>
      <xdr:col>16</xdr:col>
      <xdr:colOff>180474</xdr:colOff>
      <xdr:row>10</xdr:row>
      <xdr:rowOff>5033</xdr:rowOff>
    </xdr:to>
    <xdr:pic>
      <xdr:nvPicPr>
        <xdr:cNvPr id="25" name="Picture 24">
          <a:extLst>
            <a:ext uri="{FF2B5EF4-FFF2-40B4-BE49-F238E27FC236}">
              <a16:creationId xmlns:a16="http://schemas.microsoft.com/office/drawing/2014/main" id="{7B433CF9-F42D-506C-8739-986C78A63CC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55344" y="1503949"/>
          <a:ext cx="310814" cy="305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120315</xdr:colOff>
      <xdr:row>1</xdr:row>
      <xdr:rowOff>130342</xdr:rowOff>
    </xdr:from>
    <xdr:to>
      <xdr:col>11</xdr:col>
      <xdr:colOff>441158</xdr:colOff>
      <xdr:row>3</xdr:row>
      <xdr:rowOff>85084</xdr:rowOff>
    </xdr:to>
    <xdr:pic>
      <xdr:nvPicPr>
        <xdr:cNvPr id="26" name="Picture 25">
          <a:extLst>
            <a:ext uri="{FF2B5EF4-FFF2-40B4-BE49-F238E27FC236}">
              <a16:creationId xmlns:a16="http://schemas.microsoft.com/office/drawing/2014/main" id="{F7CD6F29-ADFF-3F25-C8CD-E3176A07CC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47973" y="310816"/>
          <a:ext cx="320843" cy="315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346409</xdr:colOff>
      <xdr:row>15</xdr:row>
      <xdr:rowOff>50133</xdr:rowOff>
    </xdr:from>
    <xdr:to>
      <xdr:col>16</xdr:col>
      <xdr:colOff>320843</xdr:colOff>
      <xdr:row>42</xdr:row>
      <xdr:rowOff>140369</xdr:rowOff>
    </xdr:to>
    <xdr:sp macro="" textlink="">
      <xdr:nvSpPr>
        <xdr:cNvPr id="27" name="Rectangle: Rounded Corners 26">
          <a:extLst>
            <a:ext uri="{FF2B5EF4-FFF2-40B4-BE49-F238E27FC236}">
              <a16:creationId xmlns:a16="http://schemas.microsoft.com/office/drawing/2014/main" id="{389ECB14-723F-4961-BFC6-4351C71F1289}"/>
            </a:ext>
          </a:extLst>
        </xdr:cNvPr>
        <xdr:cNvSpPr/>
      </xdr:nvSpPr>
      <xdr:spPr>
        <a:xfrm>
          <a:off x="4627646" y="2757238"/>
          <a:ext cx="5478881" cy="4963026"/>
        </a:xfrm>
        <a:prstGeom prst="roundRect">
          <a:avLst>
            <a:gd name="adj" fmla="val 5454"/>
          </a:avLst>
        </a:prstGeom>
        <a:solidFill>
          <a:srgbClr val="FAFAFA"/>
        </a:soli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571499</xdr:colOff>
      <xdr:row>16</xdr:row>
      <xdr:rowOff>150395</xdr:rowOff>
    </xdr:from>
    <xdr:to>
      <xdr:col>11</xdr:col>
      <xdr:colOff>429078</xdr:colOff>
      <xdr:row>27</xdr:row>
      <xdr:rowOff>134385</xdr:rowOff>
    </xdr:to>
    <xdr:graphicFrame macro="">
      <xdr:nvGraphicFramePr>
        <xdr:cNvPr id="28" name="Chart 27">
          <a:extLst>
            <a:ext uri="{FF2B5EF4-FFF2-40B4-BE49-F238E27FC236}">
              <a16:creationId xmlns:a16="http://schemas.microsoft.com/office/drawing/2014/main" id="{1BB84D81-6E73-4060-AEF4-591F2EAB7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469233</xdr:colOff>
      <xdr:row>15</xdr:row>
      <xdr:rowOff>45620</xdr:rowOff>
    </xdr:from>
    <xdr:to>
      <xdr:col>9</xdr:col>
      <xdr:colOff>417096</xdr:colOff>
      <xdr:row>16</xdr:row>
      <xdr:rowOff>165936</xdr:rowOff>
    </xdr:to>
    <xdr:sp macro="" textlink="">
      <xdr:nvSpPr>
        <xdr:cNvPr id="29" name="TextBox 28">
          <a:extLst>
            <a:ext uri="{FF2B5EF4-FFF2-40B4-BE49-F238E27FC236}">
              <a16:creationId xmlns:a16="http://schemas.microsoft.com/office/drawing/2014/main" id="{A9792280-E795-4BDE-89DA-2E28D0987011}"/>
            </a:ext>
          </a:extLst>
        </xdr:cNvPr>
        <xdr:cNvSpPr txBox="1"/>
      </xdr:nvSpPr>
      <xdr:spPr>
        <a:xfrm>
          <a:off x="4750470" y="2752725"/>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FAT</a:t>
          </a:r>
          <a:r>
            <a:rPr lang="en-US" sz="1200" b="1" baseline="0">
              <a:solidFill>
                <a:schemeClr val="dk1"/>
              </a:solidFill>
              <a:latin typeface="Aptos Display" panose="020B0004020202020204" pitchFamily="34" charset="0"/>
              <a:ea typeface="Segoe UI Black" panose="020B0A02040204020203" pitchFamily="34" charset="0"/>
            </a:rPr>
            <a:t> CONTENT</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27824</xdr:colOff>
      <xdr:row>15</xdr:row>
      <xdr:rowOff>50133</xdr:rowOff>
    </xdr:from>
    <xdr:to>
      <xdr:col>12</xdr:col>
      <xdr:colOff>27824</xdr:colOff>
      <xdr:row>42</xdr:row>
      <xdr:rowOff>140369</xdr:rowOff>
    </xdr:to>
    <xdr:cxnSp macro="">
      <xdr:nvCxnSpPr>
        <xdr:cNvPr id="31" name="Straight Connector 30">
          <a:extLst>
            <a:ext uri="{FF2B5EF4-FFF2-40B4-BE49-F238E27FC236}">
              <a16:creationId xmlns:a16="http://schemas.microsoft.com/office/drawing/2014/main" id="{9C67D2BB-7909-A41D-2FF0-312F925B2C78}"/>
            </a:ext>
          </a:extLst>
        </xdr:cNvPr>
        <xdr:cNvCxnSpPr>
          <a:stCxn id="27" idx="0"/>
          <a:endCxn id="27" idx="2"/>
        </xdr:cNvCxnSpPr>
      </xdr:nvCxnSpPr>
      <xdr:spPr>
        <a:xfrm>
          <a:off x="7367087" y="2757238"/>
          <a:ext cx="0" cy="496302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501316</xdr:colOff>
      <xdr:row>28</xdr:row>
      <xdr:rowOff>130342</xdr:rowOff>
    </xdr:from>
    <xdr:to>
      <xdr:col>11</xdr:col>
      <xdr:colOff>491289</xdr:colOff>
      <xdr:row>28</xdr:row>
      <xdr:rowOff>140369</xdr:rowOff>
    </xdr:to>
    <xdr:cxnSp macro="">
      <xdr:nvCxnSpPr>
        <xdr:cNvPr id="21" name="Straight Connector 20">
          <a:extLst>
            <a:ext uri="{FF2B5EF4-FFF2-40B4-BE49-F238E27FC236}">
              <a16:creationId xmlns:a16="http://schemas.microsoft.com/office/drawing/2014/main" id="{0EE4FECB-FE29-4CFA-A31F-0972DD1E8561}"/>
            </a:ext>
          </a:extLst>
        </xdr:cNvPr>
        <xdr:cNvCxnSpPr/>
      </xdr:nvCxnSpPr>
      <xdr:spPr>
        <a:xfrm>
          <a:off x="4782553" y="5183605"/>
          <a:ext cx="2436394" cy="10027"/>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461210</xdr:colOff>
      <xdr:row>30</xdr:row>
      <xdr:rowOff>120315</xdr:rowOff>
    </xdr:from>
    <xdr:to>
      <xdr:col>11</xdr:col>
      <xdr:colOff>611604</xdr:colOff>
      <xdr:row>42</xdr:row>
      <xdr:rowOff>20052</xdr:rowOff>
    </xdr:to>
    <xdr:graphicFrame macro="">
      <xdr:nvGraphicFramePr>
        <xdr:cNvPr id="37" name="Chart 36">
          <a:extLst>
            <a:ext uri="{FF2B5EF4-FFF2-40B4-BE49-F238E27FC236}">
              <a16:creationId xmlns:a16="http://schemas.microsoft.com/office/drawing/2014/main" id="{50DEF30A-D991-47F3-A1A4-71A63A8E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370972</xdr:colOff>
      <xdr:row>29</xdr:row>
      <xdr:rowOff>20052</xdr:rowOff>
    </xdr:from>
    <xdr:to>
      <xdr:col>9</xdr:col>
      <xdr:colOff>561473</xdr:colOff>
      <xdr:row>30</xdr:row>
      <xdr:rowOff>77703</xdr:rowOff>
    </xdr:to>
    <xdr:sp macro="" textlink="">
      <xdr:nvSpPr>
        <xdr:cNvPr id="39" name="TextBox 38">
          <a:extLst>
            <a:ext uri="{FF2B5EF4-FFF2-40B4-BE49-F238E27FC236}">
              <a16:creationId xmlns:a16="http://schemas.microsoft.com/office/drawing/2014/main" id="{75E3D992-4657-4674-AD5E-439B885A68DC}"/>
            </a:ext>
          </a:extLst>
        </xdr:cNvPr>
        <xdr:cNvSpPr txBox="1"/>
      </xdr:nvSpPr>
      <xdr:spPr>
        <a:xfrm>
          <a:off x="4652209" y="5253789"/>
          <a:ext cx="141371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FAT</a:t>
          </a:r>
          <a:r>
            <a:rPr lang="en-US" sz="1200" b="1" baseline="0">
              <a:solidFill>
                <a:schemeClr val="dk1"/>
              </a:solidFill>
              <a:latin typeface="Aptos Display" panose="020B0004020202020204" pitchFamily="34" charset="0"/>
              <a:ea typeface="Segoe UI Black" panose="020B0A02040204020203" pitchFamily="34" charset="0"/>
            </a:rPr>
            <a:t> BY OUTLET</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11</xdr:col>
      <xdr:colOff>601581</xdr:colOff>
      <xdr:row>15</xdr:row>
      <xdr:rowOff>37599</xdr:rowOff>
    </xdr:from>
    <xdr:to>
      <xdr:col>13</xdr:col>
      <xdr:colOff>549444</xdr:colOff>
      <xdr:row>16</xdr:row>
      <xdr:rowOff>157915</xdr:rowOff>
    </xdr:to>
    <xdr:sp macro="" textlink="">
      <xdr:nvSpPr>
        <xdr:cNvPr id="40" name="TextBox 39">
          <a:extLst>
            <a:ext uri="{FF2B5EF4-FFF2-40B4-BE49-F238E27FC236}">
              <a16:creationId xmlns:a16="http://schemas.microsoft.com/office/drawing/2014/main" id="{7CBCB347-C073-469E-889F-3EF7B0E2968C}"/>
            </a:ext>
          </a:extLst>
        </xdr:cNvPr>
        <xdr:cNvSpPr txBox="1"/>
      </xdr:nvSpPr>
      <xdr:spPr>
        <a:xfrm>
          <a:off x="7329239" y="2744704"/>
          <a:ext cx="1171073" cy="30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ITEM</a:t>
          </a:r>
          <a:r>
            <a:rPr lang="en-US" sz="1200" b="1" baseline="0">
              <a:solidFill>
                <a:schemeClr val="dk1"/>
              </a:solidFill>
              <a:latin typeface="Aptos Display" panose="020B0004020202020204" pitchFamily="34" charset="0"/>
              <a:ea typeface="Segoe UI Black" panose="020B0A02040204020203" pitchFamily="34" charset="0"/>
            </a:rPr>
            <a:t> TYPE</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130342</xdr:colOff>
      <xdr:row>16</xdr:row>
      <xdr:rowOff>160421</xdr:rowOff>
    </xdr:from>
    <xdr:to>
      <xdr:col>16</xdr:col>
      <xdr:colOff>170448</xdr:colOff>
      <xdr:row>41</xdr:row>
      <xdr:rowOff>130342</xdr:rowOff>
    </xdr:to>
    <xdr:graphicFrame macro="">
      <xdr:nvGraphicFramePr>
        <xdr:cNvPr id="41" name="Chart 40">
          <a:extLst>
            <a:ext uri="{FF2B5EF4-FFF2-40B4-BE49-F238E27FC236}">
              <a16:creationId xmlns:a16="http://schemas.microsoft.com/office/drawing/2014/main" id="{60621C1E-594F-4A17-A048-7D6DAA6E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579019</xdr:colOff>
      <xdr:row>1</xdr:row>
      <xdr:rowOff>60163</xdr:rowOff>
    </xdr:from>
    <xdr:to>
      <xdr:col>26</xdr:col>
      <xdr:colOff>381000</xdr:colOff>
      <xdr:row>42</xdr:row>
      <xdr:rowOff>120316</xdr:rowOff>
    </xdr:to>
    <xdr:sp macro="" textlink="">
      <xdr:nvSpPr>
        <xdr:cNvPr id="62" name="Rectangle: Rounded Corners 4">
          <a:extLst>
            <a:ext uri="{FF2B5EF4-FFF2-40B4-BE49-F238E27FC236}">
              <a16:creationId xmlns:a16="http://schemas.microsoft.com/office/drawing/2014/main" id="{F46E8F1B-2530-4337-A461-2AF8B937DDE6}"/>
            </a:ext>
          </a:extLst>
        </xdr:cNvPr>
        <xdr:cNvSpPr/>
      </xdr:nvSpPr>
      <xdr:spPr>
        <a:xfrm>
          <a:off x="10364703" y="240637"/>
          <a:ext cx="5918034" cy="7459574"/>
        </a:xfrm>
        <a:prstGeom prst="roundRect">
          <a:avLst>
            <a:gd name="adj" fmla="val 3760"/>
          </a:avLst>
        </a:prstGeom>
        <a:solidFill>
          <a:srgbClr val="FAFAFA"/>
        </a:solidFill>
        <a:ln>
          <a:noFill/>
        </a:ln>
        <a:effectLst>
          <a:outerShdw blurRad="50800" dist="38100" dir="2700000" algn="tl" rotWithShape="0">
            <a:prstClr val="black">
              <a:alpha val="5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17</xdr:col>
      <xdr:colOff>0</xdr:colOff>
      <xdr:row>1</xdr:row>
      <xdr:rowOff>99760</xdr:rowOff>
    </xdr:from>
    <xdr:to>
      <xdr:col>20</xdr:col>
      <xdr:colOff>180474</xdr:colOff>
      <xdr:row>3</xdr:row>
      <xdr:rowOff>160420</xdr:rowOff>
    </xdr:to>
    <xdr:sp macro="" textlink="">
      <xdr:nvSpPr>
        <xdr:cNvPr id="15" name="TextBox 14">
          <a:extLst>
            <a:ext uri="{FF2B5EF4-FFF2-40B4-BE49-F238E27FC236}">
              <a16:creationId xmlns:a16="http://schemas.microsoft.com/office/drawing/2014/main" id="{9B562FE5-6DCD-4633-8FDB-56C4F28E2A28}"/>
            </a:ext>
          </a:extLst>
        </xdr:cNvPr>
        <xdr:cNvSpPr txBox="1"/>
      </xdr:nvSpPr>
      <xdr:spPr>
        <a:xfrm>
          <a:off x="10397289" y="280234"/>
          <a:ext cx="2015290"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OUTLET</a:t>
          </a:r>
          <a:r>
            <a:rPr lang="en-US" sz="1200" b="1" baseline="0">
              <a:solidFill>
                <a:schemeClr val="dk1"/>
              </a:solidFill>
              <a:latin typeface="Aptos Display" panose="020B0004020202020204" pitchFamily="34" charset="0"/>
              <a:ea typeface="Segoe UI Black" panose="020B0A02040204020203" pitchFamily="34" charset="0"/>
            </a:rPr>
            <a:t> ESTABLISHMENT</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16</xdr:col>
      <xdr:colOff>591553</xdr:colOff>
      <xdr:row>3</xdr:row>
      <xdr:rowOff>89735</xdr:rowOff>
    </xdr:from>
    <xdr:to>
      <xdr:col>26</xdr:col>
      <xdr:colOff>320842</xdr:colOff>
      <xdr:row>12</xdr:row>
      <xdr:rowOff>73292</xdr:rowOff>
    </xdr:to>
    <xdr:graphicFrame macro="">
      <xdr:nvGraphicFramePr>
        <xdr:cNvPr id="30" name="Chart 29">
          <a:extLst>
            <a:ext uri="{FF2B5EF4-FFF2-40B4-BE49-F238E27FC236}">
              <a16:creationId xmlns:a16="http://schemas.microsoft.com/office/drawing/2014/main" id="{C48288EB-FB4C-426A-857E-0B106CDF6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42111</xdr:colOff>
      <xdr:row>12</xdr:row>
      <xdr:rowOff>170448</xdr:rowOff>
    </xdr:from>
    <xdr:to>
      <xdr:col>26</xdr:col>
      <xdr:colOff>270710</xdr:colOff>
      <xdr:row>13</xdr:row>
      <xdr:rowOff>12031</xdr:rowOff>
    </xdr:to>
    <xdr:cxnSp macro="">
      <xdr:nvCxnSpPr>
        <xdr:cNvPr id="32" name="Straight Connector 31">
          <a:extLst>
            <a:ext uri="{FF2B5EF4-FFF2-40B4-BE49-F238E27FC236}">
              <a16:creationId xmlns:a16="http://schemas.microsoft.com/office/drawing/2014/main" id="{8FC30A56-A23B-4A12-815D-9FE21D7D5907}"/>
            </a:ext>
          </a:extLst>
        </xdr:cNvPr>
        <xdr:cNvCxnSpPr/>
      </xdr:nvCxnSpPr>
      <xdr:spPr>
        <a:xfrm flipV="1">
          <a:off x="10439400" y="2336132"/>
          <a:ext cx="5733047" cy="22057"/>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601580</xdr:colOff>
      <xdr:row>13</xdr:row>
      <xdr:rowOff>11528</xdr:rowOff>
    </xdr:from>
    <xdr:to>
      <xdr:col>18</xdr:col>
      <xdr:colOff>553453</xdr:colOff>
      <xdr:row>15</xdr:row>
      <xdr:rowOff>72188</xdr:rowOff>
    </xdr:to>
    <xdr:sp macro="" textlink="">
      <xdr:nvSpPr>
        <xdr:cNvPr id="34" name="TextBox 33">
          <a:extLst>
            <a:ext uri="{FF2B5EF4-FFF2-40B4-BE49-F238E27FC236}">
              <a16:creationId xmlns:a16="http://schemas.microsoft.com/office/drawing/2014/main" id="{5DDA86DB-A161-47EC-B845-6F53455E2894}"/>
            </a:ext>
          </a:extLst>
        </xdr:cNvPr>
        <xdr:cNvSpPr txBox="1"/>
      </xdr:nvSpPr>
      <xdr:spPr>
        <a:xfrm>
          <a:off x="10387264" y="2357686"/>
          <a:ext cx="1175084"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OUTLET</a:t>
          </a:r>
          <a:r>
            <a:rPr lang="en-US" sz="1200" b="1" baseline="0">
              <a:solidFill>
                <a:schemeClr val="dk1"/>
              </a:solidFill>
              <a:latin typeface="Aptos Display" panose="020B0004020202020204" pitchFamily="34" charset="0"/>
              <a:ea typeface="Segoe UI Black" panose="020B0A02040204020203" pitchFamily="34" charset="0"/>
            </a:rPr>
            <a:t> SIZE</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17</xdr:col>
      <xdr:colOff>180475</xdr:colOff>
      <xdr:row>15</xdr:row>
      <xdr:rowOff>81713</xdr:rowOff>
    </xdr:from>
    <xdr:to>
      <xdr:col>21</xdr:col>
      <xdr:colOff>310815</xdr:colOff>
      <xdr:row>26</xdr:row>
      <xdr:rowOff>60157</xdr:rowOff>
    </xdr:to>
    <xdr:graphicFrame macro="">
      <xdr:nvGraphicFramePr>
        <xdr:cNvPr id="35" name="Chart 34">
          <a:extLst>
            <a:ext uri="{FF2B5EF4-FFF2-40B4-BE49-F238E27FC236}">
              <a16:creationId xmlns:a16="http://schemas.microsoft.com/office/drawing/2014/main" id="{A50611A8-F74D-41AA-B421-38C717847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24063</xdr:colOff>
      <xdr:row>27</xdr:row>
      <xdr:rowOff>162427</xdr:rowOff>
    </xdr:from>
    <xdr:to>
      <xdr:col>26</xdr:col>
      <xdr:colOff>252662</xdr:colOff>
      <xdr:row>28</xdr:row>
      <xdr:rowOff>4010</xdr:rowOff>
    </xdr:to>
    <xdr:cxnSp macro="">
      <xdr:nvCxnSpPr>
        <xdr:cNvPr id="36" name="Straight Connector 35">
          <a:extLst>
            <a:ext uri="{FF2B5EF4-FFF2-40B4-BE49-F238E27FC236}">
              <a16:creationId xmlns:a16="http://schemas.microsoft.com/office/drawing/2014/main" id="{C5B682B8-39B3-4641-BEC2-209F22FBD683}"/>
            </a:ext>
          </a:extLst>
        </xdr:cNvPr>
        <xdr:cNvCxnSpPr/>
      </xdr:nvCxnSpPr>
      <xdr:spPr>
        <a:xfrm flipV="1">
          <a:off x="10421352" y="5035216"/>
          <a:ext cx="5733047" cy="22057"/>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511342</xdr:colOff>
      <xdr:row>13</xdr:row>
      <xdr:rowOff>130342</xdr:rowOff>
    </xdr:from>
    <xdr:to>
      <xdr:col>21</xdr:col>
      <xdr:colOff>521368</xdr:colOff>
      <xdr:row>27</xdr:row>
      <xdr:rowOff>40106</xdr:rowOff>
    </xdr:to>
    <xdr:cxnSp macro="">
      <xdr:nvCxnSpPr>
        <xdr:cNvPr id="38" name="Straight Connector 37">
          <a:extLst>
            <a:ext uri="{FF2B5EF4-FFF2-40B4-BE49-F238E27FC236}">
              <a16:creationId xmlns:a16="http://schemas.microsoft.com/office/drawing/2014/main" id="{ADC2C76F-7676-4270-A6F4-055AF614AC9B}"/>
            </a:ext>
          </a:extLst>
        </xdr:cNvPr>
        <xdr:cNvCxnSpPr/>
      </xdr:nvCxnSpPr>
      <xdr:spPr>
        <a:xfrm flipH="1" flipV="1">
          <a:off x="13355053" y="2476500"/>
          <a:ext cx="10026" cy="2436395"/>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30079</xdr:colOff>
      <xdr:row>15</xdr:row>
      <xdr:rowOff>100263</xdr:rowOff>
    </xdr:from>
    <xdr:to>
      <xdr:col>26</xdr:col>
      <xdr:colOff>50131</xdr:colOff>
      <xdr:row>27</xdr:row>
      <xdr:rowOff>50133</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D562C02E-60A3-4076-9EC1-40769BBB64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41279" y="2843463"/>
              <a:ext cx="2458452" cy="2144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501316</xdr:colOff>
      <xdr:row>13</xdr:row>
      <xdr:rowOff>33585</xdr:rowOff>
    </xdr:from>
    <xdr:to>
      <xdr:col>24</xdr:col>
      <xdr:colOff>160422</xdr:colOff>
      <xdr:row>15</xdr:row>
      <xdr:rowOff>94245</xdr:rowOff>
    </xdr:to>
    <xdr:sp macro="" textlink="">
      <xdr:nvSpPr>
        <xdr:cNvPr id="47" name="TextBox 46">
          <a:extLst>
            <a:ext uri="{FF2B5EF4-FFF2-40B4-BE49-F238E27FC236}">
              <a16:creationId xmlns:a16="http://schemas.microsoft.com/office/drawing/2014/main" id="{6DDBB2F7-0FA9-4155-8E6D-AADDB0B7F732}"/>
            </a:ext>
          </a:extLst>
        </xdr:cNvPr>
        <xdr:cNvSpPr txBox="1"/>
      </xdr:nvSpPr>
      <xdr:spPr>
        <a:xfrm>
          <a:off x="13345027" y="2379743"/>
          <a:ext cx="1493921"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OUTLET</a:t>
          </a:r>
          <a:r>
            <a:rPr lang="en-US" sz="1200" b="1" baseline="0">
              <a:solidFill>
                <a:schemeClr val="dk1"/>
              </a:solidFill>
              <a:latin typeface="Aptos Display" panose="020B0004020202020204" pitchFamily="34" charset="0"/>
              <a:ea typeface="Segoe UI Black" panose="020B0A02040204020203" pitchFamily="34" charset="0"/>
            </a:rPr>
            <a:t> LOCATION</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16</xdr:col>
      <xdr:colOff>543428</xdr:colOff>
      <xdr:row>28</xdr:row>
      <xdr:rowOff>3507</xdr:rowOff>
    </xdr:from>
    <xdr:to>
      <xdr:col>18</xdr:col>
      <xdr:colOff>495301</xdr:colOff>
      <xdr:row>30</xdr:row>
      <xdr:rowOff>64166</xdr:rowOff>
    </xdr:to>
    <xdr:sp macro="" textlink="">
      <xdr:nvSpPr>
        <xdr:cNvPr id="49" name="TextBox 48">
          <a:extLst>
            <a:ext uri="{FF2B5EF4-FFF2-40B4-BE49-F238E27FC236}">
              <a16:creationId xmlns:a16="http://schemas.microsoft.com/office/drawing/2014/main" id="{77615DE0-5387-48C6-8238-EDA0AAC9ED2A}"/>
            </a:ext>
          </a:extLst>
        </xdr:cNvPr>
        <xdr:cNvSpPr txBox="1"/>
      </xdr:nvSpPr>
      <xdr:spPr>
        <a:xfrm>
          <a:off x="10329112" y="5056770"/>
          <a:ext cx="1175084"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OUTLET</a:t>
          </a:r>
          <a:r>
            <a:rPr lang="en-US" sz="1200" b="1" baseline="0">
              <a:solidFill>
                <a:schemeClr val="dk1"/>
              </a:solidFill>
              <a:latin typeface="Aptos Display" panose="020B0004020202020204" pitchFamily="34" charset="0"/>
              <a:ea typeface="Segoe UI Black" panose="020B0A02040204020203" pitchFamily="34" charset="0"/>
            </a:rPr>
            <a:t> TYPE</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16</xdr:col>
      <xdr:colOff>591554</xdr:colOff>
      <xdr:row>31</xdr:row>
      <xdr:rowOff>60158</xdr:rowOff>
    </xdr:from>
    <xdr:to>
      <xdr:col>21</xdr:col>
      <xdr:colOff>110289</xdr:colOff>
      <xdr:row>40</xdr:row>
      <xdr:rowOff>150394</xdr:rowOff>
    </xdr:to>
    <xdr:graphicFrame macro="">
      <xdr:nvGraphicFramePr>
        <xdr:cNvPr id="67" name="Chart 66">
          <a:extLst>
            <a:ext uri="{FF2B5EF4-FFF2-40B4-BE49-F238E27FC236}">
              <a16:creationId xmlns:a16="http://schemas.microsoft.com/office/drawing/2014/main" id="{DF5196F8-433E-492E-978F-E3CBFB18B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31</xdr:row>
      <xdr:rowOff>60158</xdr:rowOff>
    </xdr:from>
    <xdr:to>
      <xdr:col>23</xdr:col>
      <xdr:colOff>601578</xdr:colOff>
      <xdr:row>40</xdr:row>
      <xdr:rowOff>180473</xdr:rowOff>
    </xdr:to>
    <xdr:graphicFrame macro="">
      <xdr:nvGraphicFramePr>
        <xdr:cNvPr id="68" name="Chart 9">
          <a:extLst>
            <a:ext uri="{FF2B5EF4-FFF2-40B4-BE49-F238E27FC236}">
              <a16:creationId xmlns:a16="http://schemas.microsoft.com/office/drawing/2014/main" id="{72F6461B-5EEB-4B65-88C8-785A5E17B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501316</xdr:colOff>
      <xdr:row>31</xdr:row>
      <xdr:rowOff>60157</xdr:rowOff>
    </xdr:from>
    <xdr:to>
      <xdr:col>26</xdr:col>
      <xdr:colOff>280736</xdr:colOff>
      <xdr:row>40</xdr:row>
      <xdr:rowOff>180473</xdr:rowOff>
    </xdr:to>
    <xdr:graphicFrame macro="">
      <xdr:nvGraphicFramePr>
        <xdr:cNvPr id="69" name="Chart 68">
          <a:extLst>
            <a:ext uri="{FF2B5EF4-FFF2-40B4-BE49-F238E27FC236}">
              <a16:creationId xmlns:a16="http://schemas.microsoft.com/office/drawing/2014/main" id="{BA77378D-8C98-494D-A6C8-EDD9E29E6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218072</xdr:colOff>
      <xdr:row>39</xdr:row>
      <xdr:rowOff>160426</xdr:rowOff>
    </xdr:from>
    <xdr:to>
      <xdr:col>25</xdr:col>
      <xdr:colOff>169945</xdr:colOff>
      <xdr:row>42</xdr:row>
      <xdr:rowOff>40612</xdr:rowOff>
    </xdr:to>
    <xdr:sp macro="" textlink="">
      <xdr:nvSpPr>
        <xdr:cNvPr id="70" name="TextBox 69">
          <a:extLst>
            <a:ext uri="{FF2B5EF4-FFF2-40B4-BE49-F238E27FC236}">
              <a16:creationId xmlns:a16="http://schemas.microsoft.com/office/drawing/2014/main" id="{F67B6ACF-A204-471D-BC8F-C68ADCD42810}"/>
            </a:ext>
          </a:extLst>
        </xdr:cNvPr>
        <xdr:cNvSpPr txBox="1"/>
      </xdr:nvSpPr>
      <xdr:spPr>
        <a:xfrm>
          <a:off x="14284993" y="7198900"/>
          <a:ext cx="1175084"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5">
                  <a:lumMod val="75000"/>
                </a:schemeClr>
              </a:solidFill>
              <a:latin typeface="Aptos Display" panose="020B0004020202020204" pitchFamily="34" charset="0"/>
              <a:ea typeface="Segoe UI Black" panose="020B0A02040204020203" pitchFamily="34" charset="0"/>
            </a:rPr>
            <a:t>No</a:t>
          </a:r>
          <a:r>
            <a:rPr lang="en-US" sz="1200" b="1" baseline="0">
              <a:solidFill>
                <a:schemeClr val="accent5">
                  <a:lumMod val="75000"/>
                </a:schemeClr>
              </a:solidFill>
              <a:latin typeface="Aptos Display" panose="020B0004020202020204" pitchFamily="34" charset="0"/>
              <a:ea typeface="Segoe UI Black" panose="020B0A02040204020203" pitchFamily="34" charset="0"/>
            </a:rPr>
            <a:t> Of items</a:t>
          </a:r>
          <a:endParaRPr lang="en-US" sz="1200" b="1">
            <a:solidFill>
              <a:schemeClr val="accent5">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21</xdr:col>
      <xdr:colOff>90235</xdr:colOff>
      <xdr:row>39</xdr:row>
      <xdr:rowOff>162431</xdr:rowOff>
    </xdr:from>
    <xdr:to>
      <xdr:col>23</xdr:col>
      <xdr:colOff>0</xdr:colOff>
      <xdr:row>42</xdr:row>
      <xdr:rowOff>42617</xdr:rowOff>
    </xdr:to>
    <xdr:sp macro="" textlink="">
      <xdr:nvSpPr>
        <xdr:cNvPr id="71" name="TextBox 70">
          <a:extLst>
            <a:ext uri="{FF2B5EF4-FFF2-40B4-BE49-F238E27FC236}">
              <a16:creationId xmlns:a16="http://schemas.microsoft.com/office/drawing/2014/main" id="{A82937ED-C4C3-4E53-9D1A-F86B0E41BA5C}"/>
            </a:ext>
          </a:extLst>
        </xdr:cNvPr>
        <xdr:cNvSpPr txBox="1"/>
      </xdr:nvSpPr>
      <xdr:spPr>
        <a:xfrm>
          <a:off x="12933946" y="7200905"/>
          <a:ext cx="1132975"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5">
                  <a:lumMod val="75000"/>
                </a:schemeClr>
              </a:solidFill>
              <a:latin typeface="Aptos Display" panose="020B0004020202020204" pitchFamily="34" charset="0"/>
              <a:ea typeface="Segoe UI Black" panose="020B0A02040204020203" pitchFamily="34" charset="0"/>
            </a:rPr>
            <a:t>Avg</a:t>
          </a:r>
          <a:r>
            <a:rPr lang="en-US" sz="1200" b="1" baseline="0">
              <a:solidFill>
                <a:schemeClr val="accent5">
                  <a:lumMod val="75000"/>
                </a:schemeClr>
              </a:solidFill>
              <a:latin typeface="Aptos Display" panose="020B0004020202020204" pitchFamily="34" charset="0"/>
              <a:ea typeface="Segoe UI Black" panose="020B0A02040204020203" pitchFamily="34" charset="0"/>
            </a:rPr>
            <a:t> Sales</a:t>
          </a:r>
          <a:endParaRPr lang="en-US" sz="1200" b="1">
            <a:solidFill>
              <a:schemeClr val="accent5">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18</xdr:col>
      <xdr:colOff>131844</xdr:colOff>
      <xdr:row>39</xdr:row>
      <xdr:rowOff>134357</xdr:rowOff>
    </xdr:from>
    <xdr:to>
      <xdr:col>20</xdr:col>
      <xdr:colOff>83718</xdr:colOff>
      <xdr:row>42</xdr:row>
      <xdr:rowOff>14543</xdr:rowOff>
    </xdr:to>
    <xdr:sp macro="" textlink="">
      <xdr:nvSpPr>
        <xdr:cNvPr id="72" name="TextBox 71">
          <a:extLst>
            <a:ext uri="{FF2B5EF4-FFF2-40B4-BE49-F238E27FC236}">
              <a16:creationId xmlns:a16="http://schemas.microsoft.com/office/drawing/2014/main" id="{A025EE21-16FB-4A28-A87B-5AA9B6AE7FD1}"/>
            </a:ext>
          </a:extLst>
        </xdr:cNvPr>
        <xdr:cNvSpPr txBox="1"/>
      </xdr:nvSpPr>
      <xdr:spPr>
        <a:xfrm>
          <a:off x="11140739" y="7172831"/>
          <a:ext cx="1175084" cy="4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5">
                  <a:lumMod val="75000"/>
                </a:schemeClr>
              </a:solidFill>
              <a:latin typeface="Aptos Display" panose="020B0004020202020204" pitchFamily="34" charset="0"/>
              <a:ea typeface="Segoe UI Black" panose="020B0A02040204020203" pitchFamily="34" charset="0"/>
            </a:rPr>
            <a:t>Total</a:t>
          </a:r>
          <a:r>
            <a:rPr lang="en-US" sz="1200" b="1" baseline="0">
              <a:solidFill>
                <a:schemeClr val="accent5">
                  <a:lumMod val="75000"/>
                </a:schemeClr>
              </a:solidFill>
              <a:latin typeface="Aptos Display" panose="020B0004020202020204" pitchFamily="34" charset="0"/>
              <a:ea typeface="Segoe UI Black" panose="020B0A02040204020203" pitchFamily="34" charset="0"/>
            </a:rPr>
            <a:t> Sales</a:t>
          </a:r>
          <a:endParaRPr lang="en-US" sz="1200" b="1">
            <a:solidFill>
              <a:schemeClr val="accent5">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3</xdr:col>
      <xdr:colOff>280736</xdr:colOff>
      <xdr:row>7</xdr:row>
      <xdr:rowOff>24062</xdr:rowOff>
    </xdr:from>
    <xdr:to>
      <xdr:col>5</xdr:col>
      <xdr:colOff>302795</xdr:colOff>
      <xdr:row>9</xdr:row>
      <xdr:rowOff>42110</xdr:rowOff>
    </xdr:to>
    <xdr:sp macro="" textlink="">
      <xdr:nvSpPr>
        <xdr:cNvPr id="73" name="TextBox 72">
          <a:extLst>
            <a:ext uri="{FF2B5EF4-FFF2-40B4-BE49-F238E27FC236}">
              <a16:creationId xmlns:a16="http://schemas.microsoft.com/office/drawing/2014/main" id="{CE8F6E11-6BF8-4D73-ABA4-7708805D5260}"/>
            </a:ext>
          </a:extLst>
        </xdr:cNvPr>
        <xdr:cNvSpPr txBox="1"/>
      </xdr:nvSpPr>
      <xdr:spPr>
        <a:xfrm>
          <a:off x="2115552" y="1287378"/>
          <a:ext cx="1245269" cy="37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6">
                  <a:lumMod val="50000"/>
                </a:schemeClr>
              </a:solidFill>
              <a:latin typeface="Aptos Display" panose="020B0004020202020204" pitchFamily="34" charset="0"/>
              <a:ea typeface="Segoe UI Black" panose="020B0A02040204020203" pitchFamily="34" charset="0"/>
            </a:rPr>
            <a:t>FILTER</a:t>
          </a:r>
          <a:r>
            <a:rPr lang="en-US" sz="1200" b="1" baseline="0">
              <a:solidFill>
                <a:schemeClr val="accent6">
                  <a:lumMod val="50000"/>
                </a:schemeClr>
              </a:solidFill>
              <a:latin typeface="Aptos Display" panose="020B0004020202020204" pitchFamily="34" charset="0"/>
              <a:ea typeface="Segoe UI Black" panose="020B0A02040204020203" pitchFamily="34" charset="0"/>
            </a:rPr>
            <a:t> PANEL</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3</xdr:col>
      <xdr:colOff>421106</xdr:colOff>
      <xdr:row>17</xdr:row>
      <xdr:rowOff>140367</xdr:rowOff>
    </xdr:from>
    <xdr:to>
      <xdr:col>6</xdr:col>
      <xdr:colOff>415090</xdr:colOff>
      <xdr:row>24</xdr:row>
      <xdr:rowOff>103872</xdr:rowOff>
    </xdr:to>
    <mc:AlternateContent xmlns:mc="http://schemas.openxmlformats.org/markup-compatibility/2006" xmlns:a14="http://schemas.microsoft.com/office/drawing/2010/main">
      <mc:Choice Requires="a14">
        <xdr:graphicFrame macro="">
          <xdr:nvGraphicFramePr>
            <xdr:cNvPr id="74" name="Outlet Location Type 1">
              <a:extLst>
                <a:ext uri="{FF2B5EF4-FFF2-40B4-BE49-F238E27FC236}">
                  <a16:creationId xmlns:a16="http://schemas.microsoft.com/office/drawing/2014/main" id="{EF02D057-F3EB-4F37-874F-E6CF8679404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55922" y="3208420"/>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441157</xdr:colOff>
      <xdr:row>25</xdr:row>
      <xdr:rowOff>40107</xdr:rowOff>
    </xdr:from>
    <xdr:to>
      <xdr:col>6</xdr:col>
      <xdr:colOff>435141</xdr:colOff>
      <xdr:row>38</xdr:row>
      <xdr:rowOff>70184</xdr:rowOff>
    </xdr:to>
    <mc:AlternateContent xmlns:mc="http://schemas.openxmlformats.org/markup-compatibility/2006" xmlns:a14="http://schemas.microsoft.com/office/drawing/2010/main">
      <mc:Choice Requires="a14">
        <xdr:graphicFrame macro="">
          <xdr:nvGraphicFramePr>
            <xdr:cNvPr id="76" name="Item Type 1">
              <a:extLst>
                <a:ext uri="{FF2B5EF4-FFF2-40B4-BE49-F238E27FC236}">
                  <a16:creationId xmlns:a16="http://schemas.microsoft.com/office/drawing/2014/main" id="{CE91E011-BB18-481B-87B2-BC9B4118EA7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75973" y="4551949"/>
              <a:ext cx="1828800" cy="2376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491290</xdr:colOff>
      <xdr:row>38</xdr:row>
      <xdr:rowOff>160425</xdr:rowOff>
    </xdr:from>
    <xdr:to>
      <xdr:col>4</xdr:col>
      <xdr:colOff>441159</xdr:colOff>
      <xdr:row>41</xdr:row>
      <xdr:rowOff>160422</xdr:rowOff>
    </xdr:to>
    <xdr:pic>
      <xdr:nvPicPr>
        <xdr:cNvPr id="78" name="Picture 77">
          <a:hlinkClick xmlns:r="http://schemas.openxmlformats.org/officeDocument/2006/relationships" r:id="rId14"/>
          <a:extLst>
            <a:ext uri="{FF2B5EF4-FFF2-40B4-BE49-F238E27FC236}">
              <a16:creationId xmlns:a16="http://schemas.microsoft.com/office/drawing/2014/main" id="{CF3DA834-D692-0224-4676-D7329F71DE0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326106" y="7018425"/>
          <a:ext cx="561474" cy="541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380999</xdr:colOff>
      <xdr:row>38</xdr:row>
      <xdr:rowOff>170447</xdr:rowOff>
    </xdr:from>
    <xdr:to>
      <xdr:col>6</xdr:col>
      <xdr:colOff>340893</xdr:colOff>
      <xdr:row>41</xdr:row>
      <xdr:rowOff>160422</xdr:rowOff>
    </xdr:to>
    <xdr:pic>
      <xdr:nvPicPr>
        <xdr:cNvPr id="81" name="Picture 80">
          <a:hlinkClick xmlns:r="http://schemas.openxmlformats.org/officeDocument/2006/relationships" r:id="rId16"/>
          <a:extLst>
            <a:ext uri="{FF2B5EF4-FFF2-40B4-BE49-F238E27FC236}">
              <a16:creationId xmlns:a16="http://schemas.microsoft.com/office/drawing/2014/main" id="{E5AF7D3D-27B7-8AC1-ED70-0ACA887680E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439025" y="7028447"/>
          <a:ext cx="571500" cy="531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lin Nayak" refreshedDate="46050.778547916663" createdVersion="8" refreshedVersion="8" minRefreshableVersion="3" recordCount="8523" xr:uid="{55147D24-227F-4044-B109-72970DDFBE1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02472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81FF1-D2AF-4C1D-9CAB-F4F41B1AF633}"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0">
    <format dxfId="9">
      <pivotArea type="all" dataOnly="0" outline="0" fieldPosition="0"/>
    </format>
    <format dxfId="8">
      <pivotArea type="origin" dataOnly="0" labelOnly="1" outline="0" fieldPosition="0"/>
    </format>
    <format dxfId="7">
      <pivotArea field="0" type="button" dataOnly="0" labelOnly="1" outline="0"/>
    </format>
    <format dxfId="6">
      <pivotArea type="topRight" dataOnly="0" labelOnly="1" outline="0" fieldPosition="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42C32A-FBCE-4E2F-BFA9-3FDB0EF97075}"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88:B9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2" numFmtId="164"/>
  </dataFields>
  <formats count="14">
    <format dxfId="23">
      <pivotArea type="all" dataOnly="0" outline="0" fieldPosition="0"/>
    </format>
    <format dxfId="22">
      <pivotArea type="origin" dataOnly="0" labelOnly="1" outline="0" fieldPosition="0"/>
    </format>
    <format dxfId="21">
      <pivotArea field="0" type="button" dataOnly="0" labelOnly="1" outline="0"/>
    </format>
    <format dxfId="20">
      <pivotArea type="topRight" dataOnly="0" labelOnly="1" outline="0" fieldPosition="0"/>
    </format>
    <format dxfId="19">
      <pivotArea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field="6" type="button" dataOnly="0" labelOnly="1" outline="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629F5-6E21-4EA5-80A1-A8284A30C6E3}"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31">
      <pivotArea type="all" dataOnly="0" outline="0" fieldPosition="0"/>
    </format>
    <format dxfId="30">
      <pivotArea collapsedLevelsAreSubtotals="1" fieldPosition="0">
        <references count="1">
          <reference field="0" count="1">
            <x v="1"/>
          </reference>
        </references>
      </pivotArea>
    </format>
    <format dxfId="29">
      <pivotArea collapsedLevelsAreSubtotals="1" fieldPosition="0">
        <references count="1">
          <reference field="0" count="1">
            <x v="0"/>
          </reference>
        </references>
      </pivotArea>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F53EA1-2621-4178-8DE8-01C972C1F4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Rating" fld="12" subtotal="average" baseField="0" baseItem="1"/>
  </dataFields>
  <formats count="3">
    <format dxfId="34">
      <pivotArea type="all" dataOnly="0" outline="0" fieldPosition="0"/>
    </format>
    <format dxfId="33">
      <pivotArea outline="0" collapsedLevelsAreSubtotals="1" fieldPosition="0"/>
    </format>
    <format dxfId="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E8388-3533-4065-87F8-F8AD39A2C75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6:C2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8">
    <format dxfId="42">
      <pivotArea type="all" dataOnly="0" outline="0" fieldPosition="0"/>
    </format>
    <format dxfId="41">
      <pivotArea outline="0" collapsedLevelsAreSubtotals="1" fieldPosition="0"/>
    </format>
    <format dxfId="40">
      <pivotArea type="origin" dataOnly="0" labelOnly="1" outline="0" fieldPosition="0"/>
    </format>
    <format dxfId="39">
      <pivotArea field="0" type="button" dataOnly="0" labelOnly="1" outline="0" axis="axisCol" fieldPosition="0"/>
    </format>
    <format dxfId="38">
      <pivotArea type="topRight" dataOnly="0" labelOnly="1" outline="0"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78738-F0FA-4F30-BBCD-22A66F3AD0DB}"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0: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54">
      <pivotArea type="all" dataOnly="0" outline="0" fieldPosition="0"/>
    </format>
    <format dxfId="53">
      <pivotArea outline="0" collapsedLevelsAreSubtotals="1" fieldPosition="0"/>
    </format>
    <format dxfId="52">
      <pivotArea type="origin" dataOnly="0" labelOnly="1" outline="0" fieldPosition="0"/>
    </format>
    <format dxfId="51">
      <pivotArea field="0" type="button" dataOnly="0" labelOnly="1" outline="0"/>
    </format>
    <format dxfId="50">
      <pivotArea type="topRight" dataOnly="0" labelOnly="1" outline="0" fieldPosition="0"/>
    </format>
    <format dxfId="49">
      <pivotArea field="6" type="button" dataOnly="0" labelOnly="1" outline="0"/>
    </format>
    <format dxfId="48">
      <pivotArea outline="0" fieldPosition="0">
        <references count="1">
          <reference field="4294967294" count="1">
            <x v="0"/>
          </reference>
        </references>
      </pivotArea>
    </format>
    <format dxfId="47">
      <pivotArea type="all" dataOnly="0" outline="0" fieldPosition="0"/>
    </format>
    <format dxfId="46">
      <pivotArea outline="0" collapsedLevelsAreSubtotals="1" fieldPosition="0"/>
    </format>
    <format dxfId="45">
      <pivotArea field="7" type="button" dataOnly="0" labelOnly="1" outline="0" axis="axisRow" fieldPosition="0"/>
    </format>
    <format dxfId="44">
      <pivotArea dataOnly="0" labelOnly="1" fieldPosition="0">
        <references count="1">
          <reference field="7" count="0"/>
        </references>
      </pivotArea>
    </format>
    <format dxfId="4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1"/>
          </reference>
        </references>
      </pivotArea>
    </chartFormat>
    <chartFormat chart="17" format="12">
      <pivotArea type="data" outline="0" fieldPosition="0">
        <references count="2">
          <reference field="4294967294" count="1" selected="0">
            <x v="0"/>
          </reference>
          <reference field="7" count="1" selected="0">
            <x v="2"/>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744D17-27C5-4C73-BD63-B19D3CF4D0C7}"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7:B4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66">
      <pivotArea type="all" dataOnly="0" outline="0" fieldPosition="0"/>
    </format>
    <format dxfId="65">
      <pivotArea outline="0" collapsedLevelsAreSubtotals="1" fieldPosition="0"/>
    </format>
    <format dxfId="64">
      <pivotArea type="origin" dataOnly="0" labelOnly="1" outline="0" fieldPosition="0"/>
    </format>
    <format dxfId="63">
      <pivotArea field="0" type="button" dataOnly="0" labelOnly="1" outline="0"/>
    </format>
    <format dxfId="62">
      <pivotArea type="topRight" dataOnly="0" labelOnly="1" outline="0" fieldPosition="0"/>
    </format>
    <format dxfId="61">
      <pivotArea field="6" type="button" dataOnly="0" labelOnly="1" outline="0"/>
    </format>
    <format dxfId="60">
      <pivotArea outline="0" fieldPosition="0">
        <references count="1">
          <reference field="4294967294" count="1">
            <x v="0"/>
          </reference>
        </references>
      </pivotArea>
    </format>
    <format dxfId="59">
      <pivotArea type="all" dataOnly="0" outline="0" fieldPosition="0"/>
    </format>
    <format dxfId="58">
      <pivotArea outline="0" collapsedLevelsAreSubtotals="1"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00364B-CC6D-4EA3-9D3E-C4FBE6B51391}"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7:B5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78">
      <pivotArea type="all" dataOnly="0" outline="0" fieldPosition="0"/>
    </format>
    <format dxfId="77">
      <pivotArea outline="0" collapsedLevelsAreSubtotals="1" fieldPosition="0"/>
    </format>
    <format dxfId="76">
      <pivotArea type="origin" dataOnly="0" labelOnly="1" outline="0" fieldPosition="0"/>
    </format>
    <format dxfId="75">
      <pivotArea field="0" type="button" dataOnly="0" labelOnly="1" outline="0"/>
    </format>
    <format dxfId="74">
      <pivotArea type="topRight" dataOnly="0" labelOnly="1" outline="0" fieldPosition="0"/>
    </format>
    <format dxfId="73">
      <pivotArea field="6" type="button" dataOnly="0" labelOnly="1" outline="0"/>
    </format>
    <format dxfId="72">
      <pivotArea outline="0" fieldPosition="0">
        <references count="1">
          <reference field="4294967294" count="1">
            <x v="0"/>
          </reference>
        </references>
      </pivotArea>
    </format>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C4CD7D-02AC-4D62-8A02-A05961315470}"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95:B9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91">
      <pivotArea type="all" dataOnly="0" outline="0" fieldPosition="0"/>
    </format>
    <format dxfId="90">
      <pivotArea type="origin" dataOnly="0" labelOnly="1" outline="0" fieldPosition="0"/>
    </format>
    <format dxfId="89">
      <pivotArea field="0" type="button" dataOnly="0" labelOnly="1" outline="0"/>
    </format>
    <format dxfId="88">
      <pivotArea type="topRight" dataOnly="0" labelOnly="1" outline="0" fieldPosition="0"/>
    </format>
    <format dxfId="87">
      <pivotArea type="all" dataOnly="0" outline="0" fieldPosition="0"/>
    </format>
    <format dxfId="86">
      <pivotArea outline="0" collapsedLevelsAreSubtotals="1" fieldPosition="0"/>
    </format>
    <format dxfId="85">
      <pivotArea field="6" type="button" dataOnly="0" labelOnly="1" outline="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37D9F9-0ECA-420A-8173-5168BCD8550B}"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1:B8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0">
    <format dxfId="101">
      <pivotArea type="all" dataOnly="0" outline="0" fieldPosition="0"/>
    </format>
    <format dxfId="100">
      <pivotArea type="origin" dataOnly="0" labelOnly="1" outline="0" fieldPosition="0"/>
    </format>
    <format dxfId="99">
      <pivotArea field="0" type="button" dataOnly="0" labelOnly="1" outline="0"/>
    </format>
    <format dxfId="98">
      <pivotArea type="topRight" dataOnly="0" labelOnly="1" outline="0" fieldPosition="0"/>
    </format>
    <format dxfId="97">
      <pivotArea outline="0" fieldPosition="0">
        <references count="1">
          <reference field="4294967294" count="1">
            <x v="0"/>
          </reference>
        </references>
      </pivotArea>
    </format>
    <format dxfId="96">
      <pivotArea type="all" dataOnly="0" outline="0" fieldPosition="0"/>
    </format>
    <format dxfId="95">
      <pivotArea outline="0" collapsedLevelsAreSubtotals="1" fieldPosition="0"/>
    </format>
    <format dxfId="94">
      <pivotArea field="8" type="button" dataOnly="0" labelOnly="1" outline="0" axis="axisRow" fieldPosition="0"/>
    </format>
    <format dxfId="93">
      <pivotArea dataOnly="0" labelOnly="1" fieldPosition="0">
        <references count="1">
          <reference field="8" count="0"/>
        </references>
      </pivotArea>
    </format>
    <format dxfId="9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3309C83-ABB2-4D07-B534-FD9B0DB7CF88}" sourceName="Outlet Size">
  <pivotTables>
    <pivotTable tabId="2" name="PivotTable1"/>
    <pivotTable tabId="2" name="PivotTable4"/>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data>
    <tabular pivotCacheId="14024720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9E03C6F-0888-4004-BAEF-64DE61462D1B}" sourceName="Outlet Location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4024720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A48CD01-CECD-4A7D-BEA4-7ACB470B567B}" sourceName="Item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40247207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FC76C13-BF50-4C2E-80E2-B9E896BE47C9}" cache="Slicer_Outlet_Size" caption="Outlet Size" rowHeight="234950"/>
  <slicer name="Outlet Location Type" xr10:uid="{F59F3AB3-6F0D-433C-98C7-DDE273FDA940}" cache="Slicer_Outlet_Location_Type" caption="Outlet Location Type" rowHeight="234950"/>
  <slicer name="Item Type" xr10:uid="{FC65BA01-07FE-4E25-A336-845D83ACC603}" cache="Slicer_Item_Type" caption="Item Type"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42FAA0D-2758-4B42-B2A9-FA58A5E87803}" cache="Slicer_Outlet_Size" caption="Outlet Size" style="Blinkit Analysis" rowHeight="234950"/>
  <slicer name="Outlet Location Type 1" xr10:uid="{72C7A3C9-5BBB-402F-9EA8-9EB787CBBA97}" cache="Slicer_Outlet_Location_Type" caption="Outlet Location" style="Blinkit Analysis" rowHeight="234950"/>
  <slicer name="Item Type 1" xr10:uid="{1B6E4445-8BB0-4CEF-99FD-7D70D401F9EF}" cache="Slicer_Item_Type" caption="Item Type" startItem="2"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67FCA-347F-475A-9790-80461A02286C}" name="Table1" displayName="Table1" ref="A1:M8524" totalsRowShown="0">
  <autoFilter ref="A1:M8524" xr:uid="{3CD67FCA-347F-475A-9790-80461A02286C}"/>
  <tableColumns count="13">
    <tableColumn id="1" xr3:uid="{69DBF978-B027-41FC-8C84-6D1711E6CB5E}" name="Item Fat Content"/>
    <tableColumn id="13" xr3:uid="{F3979EE7-C89C-4189-9348-D89A76A73201}" name="Sr No"/>
    <tableColumn id="2" xr3:uid="{D2BFAF3A-E631-45DE-A2AA-1358247163E3}" name="Item Identifier"/>
    <tableColumn id="3" xr3:uid="{3E4D5A7B-3D98-45F6-A633-609580CB6617}" name="Item Type"/>
    <tableColumn id="4" xr3:uid="{2FC6A280-90D5-47D5-8806-F7B4EC904EF3}" name="Outlet Establishment Year"/>
    <tableColumn id="5" xr3:uid="{EAA6CD58-304F-4757-966B-1FB417D74C3E}" name="Outlet Identifier"/>
    <tableColumn id="6" xr3:uid="{5DD94521-1F06-4E16-B07C-80C4263C8F2D}" name="Outlet Location Type"/>
    <tableColumn id="7" xr3:uid="{AD4EFB16-8B0A-4422-BAE6-F42CC8A72BDD}" name="Outlet Size"/>
    <tableColumn id="8" xr3:uid="{05265C4C-6B9B-4502-A28E-4F0FF6E73BC1}" name="Outlet Type"/>
    <tableColumn id="9" xr3:uid="{48EF7A99-D4C9-44D7-B6FC-7804957E22F4}" name="Item Visibility"/>
    <tableColumn id="10" xr3:uid="{208F661C-F976-4358-BACC-16CB55322DDF}" name="Item Weight"/>
    <tableColumn id="11" xr3:uid="{E8431C42-E84D-41DB-87DC-595A83DC98F4}" name="Sales"/>
    <tableColumn id="12" xr3:uid="{5DA81F54-DD52-4856-9CC9-683089577DB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4AB1-B016-4C7A-B5FE-E91EF3F4C57E}">
  <dimension ref="A1:H100"/>
  <sheetViews>
    <sheetView workbookViewId="0">
      <selection activeCell="B19" sqref="B19"/>
    </sheetView>
  </sheetViews>
  <sheetFormatPr defaultRowHeight="14.4" x14ac:dyDescent="0.3"/>
  <cols>
    <col min="1" max="1" width="16.77734375" bestFit="1" customWidth="1"/>
    <col min="2" max="2" width="11.6640625" bestFit="1" customWidth="1"/>
    <col min="3" max="3" width="12" bestFit="1" customWidth="1"/>
    <col min="4" max="4" width="13.77734375" bestFit="1" customWidth="1"/>
  </cols>
  <sheetData>
    <row r="1" spans="1:7" ht="16.2" customHeight="1" x14ac:dyDescent="0.3">
      <c r="A1" s="34" t="s">
        <v>1619</v>
      </c>
      <c r="B1" s="35"/>
      <c r="C1" s="35"/>
      <c r="D1" s="35"/>
      <c r="E1" s="35"/>
    </row>
    <row r="2" spans="1:7" ht="15" thickBot="1" x14ac:dyDescent="0.35">
      <c r="A2" s="35"/>
      <c r="B2" s="35"/>
      <c r="C2" s="35"/>
      <c r="D2" s="35"/>
      <c r="E2" s="35"/>
    </row>
    <row r="3" spans="1:7" ht="15" thickBot="1" x14ac:dyDescent="0.35">
      <c r="A3" s="9" t="s">
        <v>1610</v>
      </c>
      <c r="B3" s="10" t="s">
        <v>1611</v>
      </c>
      <c r="C3" s="10" t="s">
        <v>1613</v>
      </c>
      <c r="D3" s="11" t="s">
        <v>1614</v>
      </c>
      <c r="E3" s="3"/>
    </row>
    <row r="4" spans="1:7" ht="15" thickBot="1" x14ac:dyDescent="0.35">
      <c r="A4" s="9">
        <v>1201681.4928000034</v>
      </c>
      <c r="B4" s="10">
        <v>140.99278338613203</v>
      </c>
      <c r="C4" s="10">
        <v>8523</v>
      </c>
      <c r="D4" s="11">
        <v>3.9658570925731196</v>
      </c>
      <c r="E4" s="3"/>
    </row>
    <row r="5" spans="1:7" x14ac:dyDescent="0.3">
      <c r="A5" s="2"/>
      <c r="E5" s="3"/>
    </row>
    <row r="6" spans="1:7" x14ac:dyDescent="0.3">
      <c r="A6" s="2" t="s">
        <v>1615</v>
      </c>
      <c r="B6" t="s">
        <v>1616</v>
      </c>
      <c r="C6" t="s">
        <v>1617</v>
      </c>
      <c r="D6" t="s">
        <v>1618</v>
      </c>
      <c r="E6" s="3"/>
    </row>
    <row r="7" spans="1:7" x14ac:dyDescent="0.3">
      <c r="A7" s="12">
        <f>GETPIVOTDATA("Sum of Sales",$A$3)</f>
        <v>1201681.4928000034</v>
      </c>
      <c r="B7" s="4">
        <f>GETPIVOTDATA("Average Sales",$A$3)</f>
        <v>140.99278338613203</v>
      </c>
      <c r="C7">
        <f>GETPIVOTDATA("No of Items",$A$3)</f>
        <v>8523</v>
      </c>
      <c r="D7" s="5">
        <f>GETPIVOTDATA("Average Rating",$A$3)</f>
        <v>3.9658570925731196</v>
      </c>
      <c r="E7" s="3"/>
    </row>
    <row r="8" spans="1:7" ht="15" thickBot="1" x14ac:dyDescent="0.35">
      <c r="A8" s="2"/>
      <c r="E8" s="3"/>
    </row>
    <row r="9" spans="1:7" x14ac:dyDescent="0.3">
      <c r="A9" s="15"/>
      <c r="B9" s="17"/>
      <c r="C9" s="17"/>
      <c r="D9" s="17"/>
      <c r="E9" s="17"/>
      <c r="F9" s="17"/>
      <c r="G9" s="1"/>
    </row>
    <row r="10" spans="1:7" ht="18" thickBot="1" x14ac:dyDescent="0.5">
      <c r="A10" s="36" t="s">
        <v>1621</v>
      </c>
      <c r="B10" s="35"/>
      <c r="C10" s="35"/>
      <c r="D10" s="35"/>
      <c r="G10" s="3"/>
    </row>
    <row r="11" spans="1:7" ht="15" thickBot="1" x14ac:dyDescent="0.35">
      <c r="A11" s="19" t="s">
        <v>1620</v>
      </c>
      <c r="B11" s="18" t="s">
        <v>1610</v>
      </c>
      <c r="G11" s="3"/>
    </row>
    <row r="12" spans="1:7" x14ac:dyDescent="0.3">
      <c r="A12" s="20" t="s">
        <v>19</v>
      </c>
      <c r="B12" s="14">
        <v>776319.68840000057</v>
      </c>
      <c r="G12" s="3"/>
    </row>
    <row r="13" spans="1:7" ht="15" thickBot="1" x14ac:dyDescent="0.35">
      <c r="A13" s="22" t="s">
        <v>12</v>
      </c>
      <c r="B13" s="13">
        <v>425361.8043999995</v>
      </c>
      <c r="G13" s="3"/>
    </row>
    <row r="14" spans="1:7" ht="15" thickBot="1" x14ac:dyDescent="0.35">
      <c r="A14" s="6"/>
      <c r="B14" s="7"/>
      <c r="C14" s="7"/>
      <c r="D14" s="7"/>
      <c r="E14" s="7"/>
      <c r="F14" s="7"/>
      <c r="G14" s="8"/>
    </row>
    <row r="15" spans="1:7" ht="18" thickBot="1" x14ac:dyDescent="0.5">
      <c r="A15" s="36" t="s">
        <v>1624</v>
      </c>
      <c r="B15" s="35"/>
      <c r="C15" s="35"/>
      <c r="D15" s="35"/>
      <c r="F15" s="3"/>
    </row>
    <row r="16" spans="1:7" ht="15" thickBot="1" x14ac:dyDescent="0.35">
      <c r="A16" s="19" t="s">
        <v>1610</v>
      </c>
      <c r="B16" s="19" t="s">
        <v>1623</v>
      </c>
      <c r="C16" s="18"/>
      <c r="F16" s="3"/>
    </row>
    <row r="17" spans="1:7" ht="15" thickBot="1" x14ac:dyDescent="0.35">
      <c r="A17" s="19" t="s">
        <v>1620</v>
      </c>
      <c r="B17" s="9" t="s">
        <v>12</v>
      </c>
      <c r="C17" s="11" t="s">
        <v>19</v>
      </c>
      <c r="F17" s="3"/>
    </row>
    <row r="18" spans="1:7" x14ac:dyDescent="0.3">
      <c r="A18" s="20" t="s">
        <v>16</v>
      </c>
      <c r="B18" s="15">
        <v>121349.89940000001</v>
      </c>
      <c r="C18" s="1">
        <v>215047.9126000001</v>
      </c>
      <c r="F18" s="3"/>
    </row>
    <row r="19" spans="1:7" x14ac:dyDescent="0.3">
      <c r="A19" s="21" t="s">
        <v>36</v>
      </c>
      <c r="B19" s="2">
        <v>138685.86819999994</v>
      </c>
      <c r="C19" s="3">
        <v>254464.77940000014</v>
      </c>
      <c r="F19" s="3"/>
    </row>
    <row r="20" spans="1:7" ht="15" thickBot="1" x14ac:dyDescent="0.35">
      <c r="A20" s="22" t="s">
        <v>23</v>
      </c>
      <c r="B20" s="6">
        <v>165326.0368</v>
      </c>
      <c r="C20" s="8">
        <v>306806.99640000012</v>
      </c>
      <c r="F20" s="3"/>
    </row>
    <row r="21" spans="1:7" x14ac:dyDescent="0.3">
      <c r="A21" s="2"/>
      <c r="F21" s="3"/>
    </row>
    <row r="22" spans="1:7" x14ac:dyDescent="0.3">
      <c r="A22" s="2"/>
      <c r="F22" s="3"/>
    </row>
    <row r="23" spans="1:7" x14ac:dyDescent="0.3">
      <c r="A23" s="2"/>
      <c r="F23" s="3"/>
    </row>
    <row r="24" spans="1:7" ht="15" thickBot="1" x14ac:dyDescent="0.35">
      <c r="A24" s="6"/>
      <c r="B24" s="7"/>
      <c r="C24" s="7"/>
      <c r="D24" s="7"/>
      <c r="E24" s="7"/>
      <c r="F24" s="8"/>
    </row>
    <row r="25" spans="1:7" ht="15" thickBot="1" x14ac:dyDescent="0.35"/>
    <row r="26" spans="1:7" ht="18" thickBot="1" x14ac:dyDescent="0.5">
      <c r="A26" s="31" t="s">
        <v>1622</v>
      </c>
      <c r="B26" s="33"/>
      <c r="C26" s="33"/>
      <c r="D26" s="33"/>
      <c r="E26" s="37"/>
      <c r="F26" s="38"/>
      <c r="G26" s="1"/>
    </row>
    <row r="27" spans="1:7" ht="15" thickBot="1" x14ac:dyDescent="0.35">
      <c r="A27" s="19" t="s">
        <v>1620</v>
      </c>
      <c r="B27" s="18" t="s">
        <v>1610</v>
      </c>
      <c r="G27" s="3"/>
    </row>
    <row r="28" spans="1:7" x14ac:dyDescent="0.3">
      <c r="A28" s="20" t="s">
        <v>155</v>
      </c>
      <c r="B28" s="14">
        <v>9077.869999999999</v>
      </c>
      <c r="G28" s="3"/>
    </row>
    <row r="29" spans="1:7" x14ac:dyDescent="0.3">
      <c r="A29" s="21" t="s">
        <v>76</v>
      </c>
      <c r="B29" s="16">
        <v>15596.696600000001</v>
      </c>
      <c r="G29" s="3"/>
    </row>
    <row r="30" spans="1:7" x14ac:dyDescent="0.3">
      <c r="A30" s="21" t="s">
        <v>161</v>
      </c>
      <c r="B30" s="16">
        <v>21880.027399999992</v>
      </c>
      <c r="G30" s="3"/>
    </row>
    <row r="31" spans="1:7" x14ac:dyDescent="0.3">
      <c r="A31" s="21" t="s">
        <v>66</v>
      </c>
      <c r="B31" s="16">
        <v>22451.891599999999</v>
      </c>
      <c r="G31" s="3"/>
    </row>
    <row r="32" spans="1:7" x14ac:dyDescent="0.3">
      <c r="A32" s="21" t="s">
        <v>63</v>
      </c>
      <c r="B32" s="16">
        <v>29334.680599999996</v>
      </c>
      <c r="G32" s="3"/>
    </row>
    <row r="33" spans="1:7" x14ac:dyDescent="0.3">
      <c r="A33" s="21" t="s">
        <v>59</v>
      </c>
      <c r="B33" s="16">
        <v>35379.119800000015</v>
      </c>
      <c r="G33" s="3"/>
    </row>
    <row r="34" spans="1:7" x14ac:dyDescent="0.3">
      <c r="A34" s="21" t="s">
        <v>34</v>
      </c>
      <c r="B34" s="16">
        <v>58514.166999999987</v>
      </c>
      <c r="G34" s="3"/>
    </row>
    <row r="35" spans="1:7" x14ac:dyDescent="0.3">
      <c r="A35" s="21" t="s">
        <v>56</v>
      </c>
      <c r="B35" s="16">
        <v>59449.863799999992</v>
      </c>
      <c r="G35" s="3"/>
    </row>
    <row r="36" spans="1:7" x14ac:dyDescent="0.3">
      <c r="A36" s="21" t="s">
        <v>21</v>
      </c>
      <c r="B36" s="16">
        <v>68025.838800000012</v>
      </c>
      <c r="G36" s="3"/>
    </row>
    <row r="37" spans="1:7" x14ac:dyDescent="0.3">
      <c r="A37" s="21" t="s">
        <v>97</v>
      </c>
      <c r="B37" s="16">
        <v>81894.736400000009</v>
      </c>
      <c r="G37" s="3"/>
    </row>
    <row r="38" spans="1:7" x14ac:dyDescent="0.3">
      <c r="A38" s="21" t="s">
        <v>30</v>
      </c>
      <c r="B38" s="16">
        <v>90706.728999999992</v>
      </c>
      <c r="G38" s="3"/>
    </row>
    <row r="39" spans="1:7" x14ac:dyDescent="0.3">
      <c r="A39" s="21" t="s">
        <v>69</v>
      </c>
      <c r="B39" s="16">
        <v>101276.46159999995</v>
      </c>
      <c r="G39" s="3"/>
    </row>
    <row r="40" spans="1:7" x14ac:dyDescent="0.3">
      <c r="A40" s="21" t="s">
        <v>26</v>
      </c>
      <c r="B40" s="16">
        <v>118558.88140000009</v>
      </c>
      <c r="G40" s="3"/>
    </row>
    <row r="41" spans="1:7" x14ac:dyDescent="0.3">
      <c r="A41" s="21" t="s">
        <v>44</v>
      </c>
      <c r="B41" s="16">
        <v>135976.52539999998</v>
      </c>
      <c r="G41" s="3"/>
    </row>
    <row r="42" spans="1:7" x14ac:dyDescent="0.3">
      <c r="A42" s="21" t="s">
        <v>50</v>
      </c>
      <c r="B42" s="16">
        <v>175433.92240000021</v>
      </c>
      <c r="G42" s="3"/>
    </row>
    <row r="43" spans="1:7" ht="15" thickBot="1" x14ac:dyDescent="0.35">
      <c r="A43" s="22" t="s">
        <v>14</v>
      </c>
      <c r="B43" s="13">
        <v>178124.08099999995</v>
      </c>
      <c r="C43" s="7"/>
      <c r="D43" s="7"/>
      <c r="E43" s="7"/>
      <c r="F43" s="7"/>
      <c r="G43" s="8"/>
    </row>
    <row r="45" spans="1:7" ht="15" thickBot="1" x14ac:dyDescent="0.35"/>
    <row r="46" spans="1:7" ht="18" thickBot="1" x14ac:dyDescent="0.5">
      <c r="A46" s="31" t="s">
        <v>1625</v>
      </c>
      <c r="B46" s="33"/>
      <c r="C46" s="33"/>
      <c r="D46" s="33"/>
      <c r="E46" s="23"/>
      <c r="F46" s="17"/>
      <c r="G46" s="1"/>
    </row>
    <row r="47" spans="1:7" ht="15" thickBot="1" x14ac:dyDescent="0.35">
      <c r="A47" s="19" t="s">
        <v>1620</v>
      </c>
      <c r="B47" s="18" t="s">
        <v>1610</v>
      </c>
      <c r="G47" s="3"/>
    </row>
    <row r="48" spans="1:7" x14ac:dyDescent="0.3">
      <c r="A48" s="20">
        <v>2011</v>
      </c>
      <c r="B48" s="14">
        <v>78131.566599999976</v>
      </c>
      <c r="G48" s="3"/>
    </row>
    <row r="49" spans="1:7" x14ac:dyDescent="0.3">
      <c r="A49" s="21">
        <v>2012</v>
      </c>
      <c r="B49" s="16">
        <v>130476.85979999998</v>
      </c>
      <c r="G49" s="3"/>
    </row>
    <row r="50" spans="1:7" x14ac:dyDescent="0.3">
      <c r="A50" s="21">
        <v>2014</v>
      </c>
      <c r="B50" s="16">
        <v>131809.01560000007</v>
      </c>
      <c r="G50" s="3"/>
    </row>
    <row r="51" spans="1:7" x14ac:dyDescent="0.3">
      <c r="A51" s="21">
        <v>2015</v>
      </c>
      <c r="B51" s="16">
        <v>130942.78019999999</v>
      </c>
      <c r="G51" s="3"/>
    </row>
    <row r="52" spans="1:7" x14ac:dyDescent="0.3">
      <c r="A52" s="21">
        <v>2016</v>
      </c>
      <c r="B52" s="16">
        <v>132113.36980000007</v>
      </c>
      <c r="G52" s="3"/>
    </row>
    <row r="53" spans="1:7" x14ac:dyDescent="0.3">
      <c r="A53" s="21">
        <v>2017</v>
      </c>
      <c r="B53" s="16">
        <v>133103.90699999989</v>
      </c>
      <c r="G53" s="3"/>
    </row>
    <row r="54" spans="1:7" x14ac:dyDescent="0.3">
      <c r="A54" s="21">
        <v>2018</v>
      </c>
      <c r="B54" s="16">
        <v>204522.25700000025</v>
      </c>
      <c r="G54" s="3"/>
    </row>
    <row r="55" spans="1:7" x14ac:dyDescent="0.3">
      <c r="A55" s="21">
        <v>2020</v>
      </c>
      <c r="B55" s="16">
        <v>129103.96039999987</v>
      </c>
      <c r="G55" s="3"/>
    </row>
    <row r="56" spans="1:7" ht="15" thickBot="1" x14ac:dyDescent="0.35">
      <c r="A56" s="22">
        <v>2022</v>
      </c>
      <c r="B56" s="13">
        <v>131477.77639999994</v>
      </c>
      <c r="C56" s="7"/>
      <c r="D56" s="7"/>
      <c r="E56" s="7"/>
      <c r="F56" s="7"/>
      <c r="G56" s="8"/>
    </row>
    <row r="58" spans="1:7" ht="15" thickBot="1" x14ac:dyDescent="0.35"/>
    <row r="59" spans="1:7" ht="18" thickBot="1" x14ac:dyDescent="0.5">
      <c r="A59" s="31" t="s">
        <v>1626</v>
      </c>
      <c r="B59" s="32"/>
      <c r="C59" s="32"/>
      <c r="D59" s="32"/>
      <c r="E59" s="1"/>
    </row>
    <row r="60" spans="1:7" ht="15" thickBot="1" x14ac:dyDescent="0.35">
      <c r="A60" s="19" t="s">
        <v>1620</v>
      </c>
      <c r="B60" s="18" t="s">
        <v>1610</v>
      </c>
      <c r="E60" s="3"/>
    </row>
    <row r="61" spans="1:7" x14ac:dyDescent="0.3">
      <c r="A61" s="20" t="s">
        <v>32</v>
      </c>
      <c r="B61" s="14">
        <v>248991.58600000024</v>
      </c>
      <c r="E61" s="3"/>
    </row>
    <row r="62" spans="1:7" x14ac:dyDescent="0.3">
      <c r="A62" s="21" t="s">
        <v>17</v>
      </c>
      <c r="B62" s="16">
        <v>507895.7363999993</v>
      </c>
      <c r="E62" s="3"/>
    </row>
    <row r="63" spans="1:7" ht="15" thickBot="1" x14ac:dyDescent="0.35">
      <c r="A63" s="22" t="s">
        <v>28</v>
      </c>
      <c r="B63" s="13">
        <v>444794.17039999936</v>
      </c>
      <c r="E63" s="3"/>
    </row>
    <row r="64" spans="1:7" x14ac:dyDescent="0.3">
      <c r="A64" s="2"/>
      <c r="E64" s="3"/>
    </row>
    <row r="65" spans="1:8" x14ac:dyDescent="0.3">
      <c r="A65" s="2"/>
      <c r="E65" s="3"/>
    </row>
    <row r="66" spans="1:8" x14ac:dyDescent="0.3">
      <c r="A66" s="2"/>
      <c r="E66" s="3"/>
    </row>
    <row r="67" spans="1:8" ht="15" thickBot="1" x14ac:dyDescent="0.35">
      <c r="A67" s="6"/>
      <c r="B67" s="7"/>
      <c r="C67" s="7"/>
      <c r="D67" s="7"/>
      <c r="E67" s="8"/>
    </row>
    <row r="68" spans="1:8" ht="15" thickBot="1" x14ac:dyDescent="0.35"/>
    <row r="69" spans="1:8" ht="17.399999999999999" x14ac:dyDescent="0.45">
      <c r="A69" s="31" t="s">
        <v>1628</v>
      </c>
      <c r="B69" s="32"/>
      <c r="C69" s="32"/>
      <c r="D69" s="32"/>
      <c r="E69" s="17"/>
      <c r="F69" s="17"/>
      <c r="G69" s="17"/>
      <c r="H69" s="1"/>
    </row>
    <row r="70" spans="1:8" ht="15" thickBot="1" x14ac:dyDescent="0.35">
      <c r="A70" s="2"/>
      <c r="D70" t="s">
        <v>1627</v>
      </c>
      <c r="E70" t="s">
        <v>10</v>
      </c>
      <c r="H70" s="3"/>
    </row>
    <row r="71" spans="1:8" ht="15" thickBot="1" x14ac:dyDescent="0.35">
      <c r="A71" s="19" t="s">
        <v>1620</v>
      </c>
      <c r="B71" s="18" t="s">
        <v>1610</v>
      </c>
      <c r="D71" t="str">
        <f>A72</f>
        <v>Tier 3</v>
      </c>
      <c r="E71" s="24">
        <f>GETPIVOTDATA("Sales",$A$71,"Outlet Location Type",A72)</f>
        <v>472133.03319999954</v>
      </c>
      <c r="H71" s="3"/>
    </row>
    <row r="72" spans="1:8" x14ac:dyDescent="0.3">
      <c r="A72" s="20" t="s">
        <v>23</v>
      </c>
      <c r="B72" s="14">
        <v>472133.03319999954</v>
      </c>
      <c r="D72" t="str">
        <f t="shared" ref="D72:D73" si="0">A73</f>
        <v>Tier 2</v>
      </c>
      <c r="E72" s="24">
        <f t="shared" ref="E72:E73" si="1">GETPIVOTDATA("Sales",$A$71,"Outlet Location Type",A73)</f>
        <v>393150.64759999956</v>
      </c>
      <c r="H72" s="3"/>
    </row>
    <row r="73" spans="1:8" x14ac:dyDescent="0.3">
      <c r="A73" s="21" t="s">
        <v>36</v>
      </c>
      <c r="B73" s="16">
        <v>393150.64759999956</v>
      </c>
      <c r="D73" t="str">
        <f t="shared" si="0"/>
        <v>Tier 1</v>
      </c>
      <c r="E73" s="24">
        <f t="shared" si="1"/>
        <v>336397.81199999945</v>
      </c>
      <c r="H73" s="3"/>
    </row>
    <row r="74" spans="1:8" ht="15" thickBot="1" x14ac:dyDescent="0.35">
      <c r="A74" s="22" t="s">
        <v>16</v>
      </c>
      <c r="B74" s="13">
        <v>336397.81199999945</v>
      </c>
      <c r="H74" s="3"/>
    </row>
    <row r="75" spans="1:8" x14ac:dyDescent="0.3">
      <c r="A75" s="2"/>
      <c r="H75" s="3"/>
    </row>
    <row r="76" spans="1:8" ht="15" thickBot="1" x14ac:dyDescent="0.35">
      <c r="A76" s="6"/>
      <c r="B76" s="7"/>
      <c r="C76" s="7"/>
      <c r="D76" s="7"/>
      <c r="E76" s="7"/>
      <c r="F76" s="7"/>
      <c r="G76" s="7"/>
      <c r="H76" s="8"/>
    </row>
    <row r="78" spans="1:8" ht="15" thickBot="1" x14ac:dyDescent="0.35"/>
    <row r="79" spans="1:8" ht="17.399999999999999" x14ac:dyDescent="0.45">
      <c r="A79" s="31" t="s">
        <v>1631</v>
      </c>
      <c r="B79" s="32"/>
      <c r="C79" s="32"/>
      <c r="D79" s="32"/>
      <c r="E79" s="17"/>
      <c r="F79" s="17"/>
      <c r="G79" s="1"/>
    </row>
    <row r="80" spans="1:8" ht="15" thickBot="1" x14ac:dyDescent="0.35">
      <c r="A80" s="2"/>
      <c r="G80" s="3"/>
    </row>
    <row r="81" spans="1:7" ht="15" thickBot="1" x14ac:dyDescent="0.35">
      <c r="A81" s="19" t="s">
        <v>1620</v>
      </c>
      <c r="B81" s="18" t="s">
        <v>1610</v>
      </c>
      <c r="G81" s="3"/>
    </row>
    <row r="82" spans="1:7" x14ac:dyDescent="0.3">
      <c r="A82" s="20" t="s">
        <v>42</v>
      </c>
      <c r="B82" s="14">
        <v>151939.149</v>
      </c>
      <c r="G82" s="3"/>
    </row>
    <row r="83" spans="1:7" x14ac:dyDescent="0.3">
      <c r="A83" s="21" t="s">
        <v>48</v>
      </c>
      <c r="B83" s="16">
        <v>130714.67460000006</v>
      </c>
      <c r="G83" s="3"/>
    </row>
    <row r="84" spans="1:7" x14ac:dyDescent="0.3">
      <c r="A84" s="21" t="s">
        <v>24</v>
      </c>
      <c r="B84" s="16">
        <v>131477.77639999994</v>
      </c>
      <c r="G84" s="3"/>
    </row>
    <row r="85" spans="1:7" ht="15" thickBot="1" x14ac:dyDescent="0.35">
      <c r="A85" s="22" t="s">
        <v>18</v>
      </c>
      <c r="B85" s="13">
        <v>787549.89280000131</v>
      </c>
      <c r="G85" s="3"/>
    </row>
    <row r="86" spans="1:7" x14ac:dyDescent="0.3">
      <c r="A86" s="2"/>
      <c r="G86" s="3"/>
    </row>
    <row r="87" spans="1:7" ht="15" thickBot="1" x14ac:dyDescent="0.35">
      <c r="A87" s="2"/>
      <c r="G87" s="3"/>
    </row>
    <row r="88" spans="1:7" ht="15" thickBot="1" x14ac:dyDescent="0.35">
      <c r="A88" s="19" t="s">
        <v>1620</v>
      </c>
      <c r="B88" s="18" t="s">
        <v>1629</v>
      </c>
      <c r="G88" s="3"/>
    </row>
    <row r="89" spans="1:7" x14ac:dyDescent="0.3">
      <c r="A89" s="20" t="s">
        <v>42</v>
      </c>
      <c r="B89" s="25">
        <v>140.29468975069253</v>
      </c>
      <c r="G89" s="3"/>
    </row>
    <row r="90" spans="1:7" x14ac:dyDescent="0.3">
      <c r="A90" s="21" t="s">
        <v>48</v>
      </c>
      <c r="B90" s="26">
        <v>139.80179101604284</v>
      </c>
      <c r="G90" s="3"/>
    </row>
    <row r="91" spans="1:7" x14ac:dyDescent="0.3">
      <c r="A91" s="21" t="s">
        <v>24</v>
      </c>
      <c r="B91" s="26">
        <v>141.67863836206891</v>
      </c>
      <c r="G91" s="3"/>
    </row>
    <row r="92" spans="1:7" ht="15" thickBot="1" x14ac:dyDescent="0.35">
      <c r="A92" s="22" t="s">
        <v>18</v>
      </c>
      <c r="B92" s="27">
        <v>141.21389506903375</v>
      </c>
      <c r="G92" s="3"/>
    </row>
    <row r="93" spans="1:7" x14ac:dyDescent="0.3">
      <c r="A93" s="2"/>
      <c r="G93" s="3"/>
    </row>
    <row r="94" spans="1:7" ht="15" thickBot="1" x14ac:dyDescent="0.35">
      <c r="A94" s="2"/>
      <c r="G94" s="3"/>
    </row>
    <row r="95" spans="1:7" ht="15" thickBot="1" x14ac:dyDescent="0.35">
      <c r="A95" s="19" t="s">
        <v>1620</v>
      </c>
      <c r="B95" s="18" t="s">
        <v>1630</v>
      </c>
      <c r="G95" s="3"/>
    </row>
    <row r="96" spans="1:7" x14ac:dyDescent="0.3">
      <c r="A96" s="20" t="s">
        <v>42</v>
      </c>
      <c r="B96" s="28">
        <v>1083</v>
      </c>
      <c r="G96" s="3"/>
    </row>
    <row r="97" spans="1:7" x14ac:dyDescent="0.3">
      <c r="A97" s="21" t="s">
        <v>48</v>
      </c>
      <c r="B97" s="29">
        <v>935</v>
      </c>
      <c r="G97" s="3"/>
    </row>
    <row r="98" spans="1:7" x14ac:dyDescent="0.3">
      <c r="A98" s="21" t="s">
        <v>24</v>
      </c>
      <c r="B98" s="29">
        <v>928</v>
      </c>
      <c r="G98" s="3"/>
    </row>
    <row r="99" spans="1:7" ht="15" thickBot="1" x14ac:dyDescent="0.35">
      <c r="A99" s="22" t="s">
        <v>18</v>
      </c>
      <c r="B99" s="30">
        <v>5577</v>
      </c>
      <c r="G99" s="3"/>
    </row>
    <row r="100" spans="1:7" ht="15" thickBot="1" x14ac:dyDescent="0.35">
      <c r="A100" s="6"/>
      <c r="B100" s="7"/>
      <c r="C100" s="7"/>
      <c r="D100" s="7"/>
      <c r="E100" s="7"/>
      <c r="F100" s="7"/>
      <c r="G100" s="8"/>
    </row>
  </sheetData>
  <mergeCells count="9">
    <mergeCell ref="A79:D79"/>
    <mergeCell ref="A59:D59"/>
    <mergeCell ref="A69:D69"/>
    <mergeCell ref="A46:D46"/>
    <mergeCell ref="A1:E2"/>
    <mergeCell ref="A10:D10"/>
    <mergeCell ref="A15:D15"/>
    <mergeCell ref="A26:D26"/>
    <mergeCell ref="E26:F2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DF2C-FD4E-425B-9046-EBF653E13C6D}">
  <dimension ref="A1"/>
  <sheetViews>
    <sheetView showGridLines="0" topLeftCell="D1" zoomScale="76" zoomScaleNormal="76" workbookViewId="0">
      <selection activeCell="Q15" sqref="Q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E7BD-EB85-4083-97A0-728B7968A386}">
  <dimension ref="A1:M8524"/>
  <sheetViews>
    <sheetView tabSelected="1" topLeftCell="A2" zoomScale="93" zoomScaleNormal="93" workbookViewId="0">
      <selection activeCell="A2" sqref="A2:D13"/>
    </sheetView>
  </sheetViews>
  <sheetFormatPr defaultRowHeight="14.4" x14ac:dyDescent="0.3"/>
  <cols>
    <col min="1" max="1" width="17" customWidth="1"/>
    <col min="2" max="2" width="15" customWidth="1"/>
    <col min="3" max="3" width="19.6640625" customWidth="1"/>
    <col min="4" max="4" width="24.6640625" customWidth="1"/>
    <col min="5" max="5" width="16.44140625" customWidth="1"/>
    <col min="6" max="6" width="20.21875" customWidth="1"/>
    <col min="7" max="7" width="12.21875" customWidth="1"/>
    <col min="8" max="8" width="18.44140625" customWidth="1"/>
    <col min="9" max="9" width="14.21875" customWidth="1"/>
    <col min="10" max="10" width="13.21875"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2018</v>
      </c>
      <c r="F431" t="s">
        <v>140</v>
      </c>
      <c r="G431" t="s">
        <v>16</v>
      </c>
      <c r="H431" t="s">
        <v>28</v>
      </c>
      <c r="I431" t="s">
        <v>42</v>
      </c>
      <c r="J431">
        <v>9.5851689999999993E-3</v>
      </c>
      <c r="L431">
        <v>102.5016</v>
      </c>
      <c r="M431">
        <v>4.9000000000000004</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4.9000000000000004</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4.9000000000000004</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4.9000000000000004</v>
      </c>
    </row>
    <row r="435" spans="1:13" x14ac:dyDescent="0.3">
      <c r="A435" t="s">
        <v>12</v>
      </c>
      <c r="B435">
        <v>434</v>
      </c>
      <c r="C435" t="s">
        <v>363</v>
      </c>
      <c r="D435" t="s">
        <v>14</v>
      </c>
      <c r="E435">
        <v>2016</v>
      </c>
      <c r="F435" t="s">
        <v>27</v>
      </c>
      <c r="G435" t="s">
        <v>16</v>
      </c>
      <c r="H435" t="s">
        <v>28</v>
      </c>
      <c r="I435" t="s">
        <v>18</v>
      </c>
      <c r="J435">
        <v>0</v>
      </c>
      <c r="K435">
        <v>12.85</v>
      </c>
      <c r="L435">
        <v>252.3382</v>
      </c>
      <c r="M435">
        <v>4.9000000000000004</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4.9000000000000004</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439</v>
      </c>
      <c r="D442" t="s">
        <v>26</v>
      </c>
      <c r="E442">
        <v>2018</v>
      </c>
      <c r="F442" t="s">
        <v>47</v>
      </c>
      <c r="G442" t="s">
        <v>23</v>
      </c>
      <c r="H442" t="s">
        <v>17</v>
      </c>
      <c r="I442" t="s">
        <v>48</v>
      </c>
      <c r="J442">
        <v>8.8394114999999995E-2</v>
      </c>
      <c r="L442">
        <v>194.74520000000001</v>
      </c>
      <c r="M442">
        <v>4.9000000000000004</v>
      </c>
    </row>
    <row r="443" spans="1:13" x14ac:dyDescent="0.3">
      <c r="A443" t="s">
        <v>19</v>
      </c>
      <c r="B443">
        <v>442</v>
      </c>
      <c r="C443" t="s">
        <v>440</v>
      </c>
      <c r="D443" t="s">
        <v>21</v>
      </c>
      <c r="E443">
        <v>2018</v>
      </c>
      <c r="F443" t="s">
        <v>47</v>
      </c>
      <c r="G443" t="s">
        <v>23</v>
      </c>
      <c r="H443" t="s">
        <v>17</v>
      </c>
      <c r="I443" t="s">
        <v>48</v>
      </c>
      <c r="J443">
        <v>0</v>
      </c>
      <c r="L443">
        <v>175.40280000000001</v>
      </c>
      <c r="M443">
        <v>4.9000000000000004</v>
      </c>
    </row>
    <row r="444" spans="1:13" x14ac:dyDescent="0.3">
      <c r="A444" t="s">
        <v>12</v>
      </c>
      <c r="B444">
        <v>443</v>
      </c>
      <c r="C444" t="s">
        <v>441</v>
      </c>
      <c r="D444" t="s">
        <v>50</v>
      </c>
      <c r="E444">
        <v>2012</v>
      </c>
      <c r="F444" t="s">
        <v>15</v>
      </c>
      <c r="G444" t="s">
        <v>16</v>
      </c>
      <c r="H444" t="s">
        <v>17</v>
      </c>
      <c r="I444" t="s">
        <v>18</v>
      </c>
      <c r="J444">
        <v>0.115857223</v>
      </c>
      <c r="K444">
        <v>8.31</v>
      </c>
      <c r="L444">
        <v>179.1028</v>
      </c>
      <c r="M444">
        <v>4.8</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4.8</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4.8</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v>450</v>
      </c>
      <c r="C451" t="s">
        <v>447</v>
      </c>
      <c r="D451" t="s">
        <v>97</v>
      </c>
      <c r="E451">
        <v>2018</v>
      </c>
      <c r="F451" t="s">
        <v>47</v>
      </c>
      <c r="G451" t="s">
        <v>23</v>
      </c>
      <c r="H451" t="s">
        <v>17</v>
      </c>
      <c r="I451" t="s">
        <v>48</v>
      </c>
      <c r="J451">
        <v>2.1170542000000001E-2</v>
      </c>
      <c r="L451">
        <v>117.61239999999999</v>
      </c>
      <c r="M451">
        <v>4.8</v>
      </c>
    </row>
    <row r="452" spans="1:13" x14ac:dyDescent="0.3">
      <c r="A452" t="s">
        <v>19</v>
      </c>
      <c r="B452">
        <v>451</v>
      </c>
      <c r="C452" t="s">
        <v>448</v>
      </c>
      <c r="D452" t="s">
        <v>14</v>
      </c>
      <c r="E452">
        <v>2012</v>
      </c>
      <c r="F452" t="s">
        <v>15</v>
      </c>
      <c r="G452" t="s">
        <v>16</v>
      </c>
      <c r="H452" t="s">
        <v>17</v>
      </c>
      <c r="I452" t="s">
        <v>18</v>
      </c>
      <c r="J452">
        <v>0</v>
      </c>
      <c r="K452">
        <v>11.5</v>
      </c>
      <c r="L452">
        <v>128.46520000000001</v>
      </c>
      <c r="M452">
        <v>4.8</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v>458</v>
      </c>
      <c r="C459" t="s">
        <v>454</v>
      </c>
      <c r="D459" t="s">
        <v>26</v>
      </c>
      <c r="E459">
        <v>2018</v>
      </c>
      <c r="F459" t="s">
        <v>140</v>
      </c>
      <c r="G459" t="s">
        <v>16</v>
      </c>
      <c r="H459" t="s">
        <v>28</v>
      </c>
      <c r="I459" t="s">
        <v>42</v>
      </c>
      <c r="J459">
        <v>0.14359158599999999</v>
      </c>
      <c r="L459">
        <v>213.55340000000001</v>
      </c>
      <c r="M459">
        <v>4.8</v>
      </c>
    </row>
    <row r="460" spans="1:13" x14ac:dyDescent="0.3">
      <c r="A460" t="s">
        <v>19</v>
      </c>
      <c r="B460">
        <v>459</v>
      </c>
      <c r="C460" t="s">
        <v>455</v>
      </c>
      <c r="D460" t="s">
        <v>97</v>
      </c>
      <c r="E460">
        <v>2018</v>
      </c>
      <c r="F460" t="s">
        <v>140</v>
      </c>
      <c r="G460" t="s">
        <v>16</v>
      </c>
      <c r="H460" t="s">
        <v>28</v>
      </c>
      <c r="I460" t="s">
        <v>42</v>
      </c>
      <c r="J460">
        <v>6.1999647999999997E-2</v>
      </c>
      <c r="L460">
        <v>230.001</v>
      </c>
      <c r="M460">
        <v>4.8</v>
      </c>
    </row>
    <row r="461" spans="1:13" x14ac:dyDescent="0.3">
      <c r="A461" t="s">
        <v>19</v>
      </c>
      <c r="B461">
        <v>460</v>
      </c>
      <c r="C461" t="s">
        <v>456</v>
      </c>
      <c r="D461" t="s">
        <v>69</v>
      </c>
      <c r="E461">
        <v>2018</v>
      </c>
      <c r="F461" t="s">
        <v>140</v>
      </c>
      <c r="G461" t="s">
        <v>16</v>
      </c>
      <c r="H461" t="s">
        <v>28</v>
      </c>
      <c r="I461" t="s">
        <v>42</v>
      </c>
      <c r="J461">
        <v>0</v>
      </c>
      <c r="L461">
        <v>51.234999999999999</v>
      </c>
      <c r="M461">
        <v>4.8</v>
      </c>
    </row>
    <row r="462" spans="1:13" x14ac:dyDescent="0.3">
      <c r="A462" t="s">
        <v>19</v>
      </c>
      <c r="B462">
        <v>461</v>
      </c>
      <c r="C462" t="s">
        <v>457</v>
      </c>
      <c r="D462" t="s">
        <v>50</v>
      </c>
      <c r="E462">
        <v>2018</v>
      </c>
      <c r="F462" t="s">
        <v>140</v>
      </c>
      <c r="G462" t="s">
        <v>16</v>
      </c>
      <c r="H462" t="s">
        <v>28</v>
      </c>
      <c r="I462" t="s">
        <v>42</v>
      </c>
      <c r="J462">
        <v>0.16845554900000001</v>
      </c>
      <c r="L462">
        <v>211.06120000000001</v>
      </c>
      <c r="M462">
        <v>4.8</v>
      </c>
    </row>
    <row r="463" spans="1:13" x14ac:dyDescent="0.3">
      <c r="A463" t="s">
        <v>12</v>
      </c>
      <c r="B463">
        <v>462</v>
      </c>
      <c r="C463" t="s">
        <v>458</v>
      </c>
      <c r="D463" t="s">
        <v>69</v>
      </c>
      <c r="E463">
        <v>2018</v>
      </c>
      <c r="F463" t="s">
        <v>140</v>
      </c>
      <c r="G463" t="s">
        <v>16</v>
      </c>
      <c r="H463" t="s">
        <v>28</v>
      </c>
      <c r="I463" t="s">
        <v>42</v>
      </c>
      <c r="J463">
        <v>6.6006824000000006E-2</v>
      </c>
      <c r="L463">
        <v>126.2704</v>
      </c>
      <c r="M463">
        <v>4.8</v>
      </c>
    </row>
    <row r="464" spans="1:13" x14ac:dyDescent="0.3">
      <c r="A464" t="s">
        <v>12</v>
      </c>
      <c r="B464">
        <v>463</v>
      </c>
      <c r="C464" t="s">
        <v>459</v>
      </c>
      <c r="D464" t="s">
        <v>56</v>
      </c>
      <c r="E464">
        <v>2018</v>
      </c>
      <c r="F464" t="s">
        <v>140</v>
      </c>
      <c r="G464" t="s">
        <v>16</v>
      </c>
      <c r="H464" t="s">
        <v>28</v>
      </c>
      <c r="I464" t="s">
        <v>42</v>
      </c>
      <c r="J464">
        <v>5.8545606E-2</v>
      </c>
      <c r="L464">
        <v>155.8314</v>
      </c>
      <c r="M464">
        <v>4.8</v>
      </c>
    </row>
    <row r="465" spans="1:13" x14ac:dyDescent="0.3">
      <c r="A465" t="s">
        <v>12</v>
      </c>
      <c r="B465">
        <v>464</v>
      </c>
      <c r="C465" t="s">
        <v>460</v>
      </c>
      <c r="D465" t="s">
        <v>50</v>
      </c>
      <c r="E465">
        <v>2018</v>
      </c>
      <c r="F465" t="s">
        <v>140</v>
      </c>
      <c r="G465" t="s">
        <v>16</v>
      </c>
      <c r="H465" t="s">
        <v>28</v>
      </c>
      <c r="I465" t="s">
        <v>42</v>
      </c>
      <c r="J465">
        <v>8.0127282999999994E-2</v>
      </c>
      <c r="L465">
        <v>168.7132</v>
      </c>
      <c r="M465">
        <v>4.8</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4.8</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4.8</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4.8</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4.8</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4.8</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v>471</v>
      </c>
      <c r="C472" t="s">
        <v>293</v>
      </c>
      <c r="D472" t="s">
        <v>30</v>
      </c>
      <c r="E472">
        <v>2015</v>
      </c>
      <c r="F472" t="s">
        <v>35</v>
      </c>
      <c r="G472" t="s">
        <v>36</v>
      </c>
      <c r="H472" t="s">
        <v>17</v>
      </c>
      <c r="I472" t="s">
        <v>18</v>
      </c>
      <c r="J472">
        <v>0.170152831</v>
      </c>
      <c r="K472">
        <v>20.7</v>
      </c>
      <c r="L472">
        <v>182.6266</v>
      </c>
      <c r="M472">
        <v>4.8</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4.8</v>
      </c>
    </row>
    <row r="479" spans="1:13" x14ac:dyDescent="0.3">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4.8</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4.8</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4.8</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4.8</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489</v>
      </c>
      <c r="D502" t="s">
        <v>50</v>
      </c>
      <c r="E502">
        <v>2022</v>
      </c>
      <c r="F502" t="s">
        <v>22</v>
      </c>
      <c r="G502" t="s">
        <v>23</v>
      </c>
      <c r="H502" t="s">
        <v>17</v>
      </c>
      <c r="I502" t="s">
        <v>24</v>
      </c>
      <c r="J502">
        <v>0</v>
      </c>
      <c r="K502">
        <v>6.67</v>
      </c>
      <c r="L502">
        <v>90.551400000000001</v>
      </c>
      <c r="M502">
        <v>4.8</v>
      </c>
    </row>
    <row r="503" spans="1:13" x14ac:dyDescent="0.3">
      <c r="A503" t="s">
        <v>12</v>
      </c>
      <c r="B503">
        <v>502</v>
      </c>
      <c r="C503" t="s">
        <v>490</v>
      </c>
      <c r="D503" t="s">
        <v>14</v>
      </c>
      <c r="E503">
        <v>2018</v>
      </c>
      <c r="F503" t="s">
        <v>47</v>
      </c>
      <c r="G503" t="s">
        <v>23</v>
      </c>
      <c r="H503" t="s">
        <v>17</v>
      </c>
      <c r="I503" t="s">
        <v>48</v>
      </c>
      <c r="J503">
        <v>4.8738406999999997E-2</v>
      </c>
      <c r="L503">
        <v>152.8682</v>
      </c>
      <c r="M503">
        <v>4.8</v>
      </c>
    </row>
    <row r="504" spans="1:13" x14ac:dyDescent="0.3">
      <c r="A504" t="s">
        <v>12</v>
      </c>
      <c r="B504">
        <v>503</v>
      </c>
      <c r="C504" t="s">
        <v>491</v>
      </c>
      <c r="D504" t="s">
        <v>56</v>
      </c>
      <c r="E504">
        <v>2018</v>
      </c>
      <c r="F504" t="s">
        <v>47</v>
      </c>
      <c r="G504" t="s">
        <v>23</v>
      </c>
      <c r="H504" t="s">
        <v>17</v>
      </c>
      <c r="I504" t="s">
        <v>48</v>
      </c>
      <c r="J504">
        <v>3.670437E-2</v>
      </c>
      <c r="L504">
        <v>228.1352</v>
      </c>
      <c r="M504">
        <v>4.8</v>
      </c>
    </row>
    <row r="505" spans="1:13" x14ac:dyDescent="0.3">
      <c r="A505" t="s">
        <v>12</v>
      </c>
      <c r="B505">
        <v>504</v>
      </c>
      <c r="C505" t="s">
        <v>492</v>
      </c>
      <c r="D505" t="s">
        <v>161</v>
      </c>
      <c r="E505">
        <v>2018</v>
      </c>
      <c r="F505" t="s">
        <v>47</v>
      </c>
      <c r="G505" t="s">
        <v>23</v>
      </c>
      <c r="H505" t="s">
        <v>17</v>
      </c>
      <c r="I505" t="s">
        <v>48</v>
      </c>
      <c r="J505">
        <v>5.436436E-2</v>
      </c>
      <c r="L505">
        <v>63.816800000000001</v>
      </c>
      <c r="M505">
        <v>4.8</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123</v>
      </c>
      <c r="D509" t="s">
        <v>97</v>
      </c>
      <c r="E509">
        <v>2018</v>
      </c>
      <c r="F509" t="s">
        <v>47</v>
      </c>
      <c r="G509" t="s">
        <v>23</v>
      </c>
      <c r="H509" t="s">
        <v>17</v>
      </c>
      <c r="I509" t="s">
        <v>48</v>
      </c>
      <c r="J509">
        <v>7.8912472999999997E-2</v>
      </c>
      <c r="L509">
        <v>99.904200000000003</v>
      </c>
      <c r="M509">
        <v>4.7</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4.7</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497</v>
      </c>
      <c r="D513" t="s">
        <v>69</v>
      </c>
      <c r="E513">
        <v>2012</v>
      </c>
      <c r="F513" t="s">
        <v>15</v>
      </c>
      <c r="G513" t="s">
        <v>16</v>
      </c>
      <c r="H513" t="s">
        <v>17</v>
      </c>
      <c r="I513" t="s">
        <v>18</v>
      </c>
      <c r="J513">
        <v>0</v>
      </c>
      <c r="K513">
        <v>6.03</v>
      </c>
      <c r="L513">
        <v>175.1028</v>
      </c>
      <c r="M513">
        <v>4.7</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499</v>
      </c>
      <c r="D515" t="s">
        <v>21</v>
      </c>
      <c r="E515">
        <v>2012</v>
      </c>
      <c r="F515" t="s">
        <v>15</v>
      </c>
      <c r="G515" t="s">
        <v>16</v>
      </c>
      <c r="H515" t="s">
        <v>17</v>
      </c>
      <c r="I515" t="s">
        <v>18</v>
      </c>
      <c r="J515">
        <v>1.2657494E-2</v>
      </c>
      <c r="K515">
        <v>16.5</v>
      </c>
      <c r="L515">
        <v>36.3506</v>
      </c>
      <c r="M515">
        <v>4.7</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502</v>
      </c>
      <c r="D520" t="s">
        <v>26</v>
      </c>
      <c r="E520">
        <v>2012</v>
      </c>
      <c r="F520" t="s">
        <v>15</v>
      </c>
      <c r="G520" t="s">
        <v>16</v>
      </c>
      <c r="H520" t="s">
        <v>17</v>
      </c>
      <c r="I520" t="s">
        <v>18</v>
      </c>
      <c r="J520">
        <v>0</v>
      </c>
      <c r="K520">
        <v>9.5</v>
      </c>
      <c r="L520">
        <v>228.46680000000001</v>
      </c>
      <c r="M520">
        <v>4.7</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v>522</v>
      </c>
      <c r="C523" t="s">
        <v>504</v>
      </c>
      <c r="D523" t="s">
        <v>69</v>
      </c>
      <c r="E523">
        <v>2018</v>
      </c>
      <c r="F523" t="s">
        <v>140</v>
      </c>
      <c r="G523" t="s">
        <v>16</v>
      </c>
      <c r="H523" t="s">
        <v>28</v>
      </c>
      <c r="I523" t="s">
        <v>42</v>
      </c>
      <c r="J523">
        <v>0.17021367600000001</v>
      </c>
      <c r="L523">
        <v>89.585599999999999</v>
      </c>
      <c r="M523">
        <v>4.7</v>
      </c>
    </row>
    <row r="524" spans="1:13" x14ac:dyDescent="0.3">
      <c r="A524" t="s">
        <v>19</v>
      </c>
      <c r="B524">
        <v>523</v>
      </c>
      <c r="C524" t="s">
        <v>221</v>
      </c>
      <c r="D524" t="s">
        <v>50</v>
      </c>
      <c r="E524">
        <v>2018</v>
      </c>
      <c r="F524" t="s">
        <v>140</v>
      </c>
      <c r="G524" t="s">
        <v>16</v>
      </c>
      <c r="H524" t="s">
        <v>28</v>
      </c>
      <c r="I524" t="s">
        <v>42</v>
      </c>
      <c r="J524">
        <v>5.8092550999999999E-2</v>
      </c>
      <c r="L524">
        <v>172.04220000000001</v>
      </c>
      <c r="M524">
        <v>4.7</v>
      </c>
    </row>
    <row r="525" spans="1:13" x14ac:dyDescent="0.3">
      <c r="A525" t="s">
        <v>12</v>
      </c>
      <c r="B525">
        <v>524</v>
      </c>
      <c r="C525" t="s">
        <v>505</v>
      </c>
      <c r="D525" t="s">
        <v>26</v>
      </c>
      <c r="E525">
        <v>2018</v>
      </c>
      <c r="F525" t="s">
        <v>140</v>
      </c>
      <c r="G525" t="s">
        <v>16</v>
      </c>
      <c r="H525" t="s">
        <v>28</v>
      </c>
      <c r="I525" t="s">
        <v>42</v>
      </c>
      <c r="J525">
        <v>7.6868664000000003E-2</v>
      </c>
      <c r="L525">
        <v>62.119399999999999</v>
      </c>
      <c r="M525">
        <v>4.7</v>
      </c>
    </row>
    <row r="526" spans="1:13" x14ac:dyDescent="0.3">
      <c r="A526" t="s">
        <v>12</v>
      </c>
      <c r="B526">
        <v>525</v>
      </c>
      <c r="C526" t="s">
        <v>506</v>
      </c>
      <c r="D526" t="s">
        <v>50</v>
      </c>
      <c r="E526">
        <v>2018</v>
      </c>
      <c r="F526" t="s">
        <v>140</v>
      </c>
      <c r="G526" t="s">
        <v>16</v>
      </c>
      <c r="H526" t="s">
        <v>28</v>
      </c>
      <c r="I526" t="s">
        <v>42</v>
      </c>
      <c r="J526">
        <v>0.127599399</v>
      </c>
      <c r="L526">
        <v>118.9098</v>
      </c>
      <c r="M526">
        <v>4.7</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4.7</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4.7</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4.7</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4.7</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4.7</v>
      </c>
    </row>
    <row r="532" spans="1:13" x14ac:dyDescent="0.3">
      <c r="A532" t="s">
        <v>19</v>
      </c>
      <c r="B532">
        <v>531</v>
      </c>
      <c r="C532" t="s">
        <v>511</v>
      </c>
      <c r="D532" t="s">
        <v>21</v>
      </c>
      <c r="E532">
        <v>2016</v>
      </c>
      <c r="F532" t="s">
        <v>27</v>
      </c>
      <c r="G532" t="s">
        <v>16</v>
      </c>
      <c r="H532" t="s">
        <v>28</v>
      </c>
      <c r="I532" t="s">
        <v>18</v>
      </c>
      <c r="J532">
        <v>1.9386233999999999E-2</v>
      </c>
      <c r="K532">
        <v>18</v>
      </c>
      <c r="L532">
        <v>126.8994</v>
      </c>
      <c r="M532">
        <v>4.7</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4.7</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4.7</v>
      </c>
    </row>
    <row r="535" spans="1:13" x14ac:dyDescent="0.3">
      <c r="A535" t="s">
        <v>12</v>
      </c>
      <c r="B535">
        <v>534</v>
      </c>
      <c r="C535" t="s">
        <v>514</v>
      </c>
      <c r="D535" t="s">
        <v>69</v>
      </c>
      <c r="E535">
        <v>2016</v>
      </c>
      <c r="F535" t="s">
        <v>27</v>
      </c>
      <c r="G535" t="s">
        <v>16</v>
      </c>
      <c r="H535" t="s">
        <v>28</v>
      </c>
      <c r="I535" t="s">
        <v>18</v>
      </c>
      <c r="J535">
        <v>0</v>
      </c>
      <c r="K535">
        <v>11.5</v>
      </c>
      <c r="L535">
        <v>88.254000000000005</v>
      </c>
      <c r="M535">
        <v>4.7</v>
      </c>
    </row>
    <row r="536" spans="1:13" x14ac:dyDescent="0.3">
      <c r="A536" t="s">
        <v>12</v>
      </c>
      <c r="B536">
        <v>535</v>
      </c>
      <c r="C536" t="s">
        <v>515</v>
      </c>
      <c r="D536" t="s">
        <v>26</v>
      </c>
      <c r="E536">
        <v>2016</v>
      </c>
      <c r="F536" t="s">
        <v>27</v>
      </c>
      <c r="G536" t="s">
        <v>16</v>
      </c>
      <c r="H536" t="s">
        <v>28</v>
      </c>
      <c r="I536" t="s">
        <v>18</v>
      </c>
      <c r="J536">
        <v>3.0247903E-2</v>
      </c>
      <c r="K536">
        <v>5.88</v>
      </c>
      <c r="L536">
        <v>101.399</v>
      </c>
      <c r="M536">
        <v>4.7</v>
      </c>
    </row>
    <row r="537" spans="1:13" x14ac:dyDescent="0.3">
      <c r="A537" t="s">
        <v>12</v>
      </c>
      <c r="B537">
        <v>536</v>
      </c>
      <c r="C537" t="s">
        <v>318</v>
      </c>
      <c r="D537" t="s">
        <v>56</v>
      </c>
      <c r="E537">
        <v>2016</v>
      </c>
      <c r="F537" t="s">
        <v>27</v>
      </c>
      <c r="G537" t="s">
        <v>16</v>
      </c>
      <c r="H537" t="s">
        <v>28</v>
      </c>
      <c r="I537" t="s">
        <v>18</v>
      </c>
      <c r="J537">
        <v>2.4541277E-2</v>
      </c>
      <c r="K537">
        <v>5.63</v>
      </c>
      <c r="L537">
        <v>105.1306</v>
      </c>
      <c r="M537">
        <v>4.7</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4.7</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v>547</v>
      </c>
      <c r="C548" t="s">
        <v>522</v>
      </c>
      <c r="D548" t="s">
        <v>34</v>
      </c>
      <c r="E548">
        <v>2020</v>
      </c>
      <c r="F548" t="s">
        <v>39</v>
      </c>
      <c r="G548" t="s">
        <v>36</v>
      </c>
      <c r="H548" t="s">
        <v>17</v>
      </c>
      <c r="I548" t="s">
        <v>18</v>
      </c>
      <c r="J548">
        <v>0</v>
      </c>
      <c r="K548">
        <v>8.27</v>
      </c>
      <c r="L548">
        <v>183.29239999999999</v>
      </c>
      <c r="M548">
        <v>4.7</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v>565</v>
      </c>
      <c r="C566" t="s">
        <v>533</v>
      </c>
      <c r="D566" t="s">
        <v>97</v>
      </c>
      <c r="E566">
        <v>2014</v>
      </c>
      <c r="F566" t="s">
        <v>31</v>
      </c>
      <c r="G566" t="s">
        <v>23</v>
      </c>
      <c r="H566" t="s">
        <v>32</v>
      </c>
      <c r="I566" t="s">
        <v>18</v>
      </c>
      <c r="J566">
        <v>0.17606902299999999</v>
      </c>
      <c r="K566">
        <v>11.1</v>
      </c>
      <c r="L566">
        <v>156.7604</v>
      </c>
      <c r="M566">
        <v>4.7</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4.7</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4.7</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4.7</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4.7</v>
      </c>
    </row>
    <row r="571" spans="1:13" x14ac:dyDescent="0.3">
      <c r="A571" t="s">
        <v>19</v>
      </c>
      <c r="B571">
        <v>570</v>
      </c>
      <c r="C571" t="s">
        <v>536</v>
      </c>
      <c r="D571" t="s">
        <v>50</v>
      </c>
      <c r="E571">
        <v>2014</v>
      </c>
      <c r="F571" t="s">
        <v>31</v>
      </c>
      <c r="G571" t="s">
        <v>23</v>
      </c>
      <c r="H571" t="s">
        <v>32</v>
      </c>
      <c r="I571" t="s">
        <v>18</v>
      </c>
      <c r="J571">
        <v>0.103726639</v>
      </c>
      <c r="K571">
        <v>7.51</v>
      </c>
      <c r="L571">
        <v>110.6544</v>
      </c>
      <c r="M571">
        <v>4.7</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4.7</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261</v>
      </c>
      <c r="D577" t="s">
        <v>50</v>
      </c>
      <c r="E577">
        <v>2022</v>
      </c>
      <c r="F577" t="s">
        <v>22</v>
      </c>
      <c r="G577" t="s">
        <v>23</v>
      </c>
      <c r="H577" t="s">
        <v>17</v>
      </c>
      <c r="I577" t="s">
        <v>24</v>
      </c>
      <c r="J577">
        <v>2.9129907E-2</v>
      </c>
      <c r="K577">
        <v>6.61</v>
      </c>
      <c r="L577">
        <v>188.4898</v>
      </c>
      <c r="M577">
        <v>4.7</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v>578</v>
      </c>
      <c r="C579" t="s">
        <v>474</v>
      </c>
      <c r="D579" t="s">
        <v>97</v>
      </c>
      <c r="E579">
        <v>2018</v>
      </c>
      <c r="F579" t="s">
        <v>47</v>
      </c>
      <c r="G579" t="s">
        <v>23</v>
      </c>
      <c r="H579" t="s">
        <v>17</v>
      </c>
      <c r="I579" t="s">
        <v>48</v>
      </c>
      <c r="J579">
        <v>0.10080442000000001</v>
      </c>
      <c r="L579">
        <v>45.474400000000003</v>
      </c>
      <c r="M579">
        <v>4.7</v>
      </c>
    </row>
    <row r="580" spans="1:13" x14ac:dyDescent="0.3">
      <c r="A580" t="s">
        <v>19</v>
      </c>
      <c r="B580">
        <v>579</v>
      </c>
      <c r="C580" t="s">
        <v>539</v>
      </c>
      <c r="D580" t="s">
        <v>30</v>
      </c>
      <c r="E580">
        <v>2018</v>
      </c>
      <c r="F580" t="s">
        <v>47</v>
      </c>
      <c r="G580" t="s">
        <v>23</v>
      </c>
      <c r="H580" t="s">
        <v>17</v>
      </c>
      <c r="I580" t="s">
        <v>48</v>
      </c>
      <c r="J580">
        <v>8.2152451000000001E-2</v>
      </c>
      <c r="L580">
        <v>179.90020000000001</v>
      </c>
      <c r="M580">
        <v>4.7</v>
      </c>
    </row>
    <row r="581" spans="1:13" x14ac:dyDescent="0.3">
      <c r="A581" t="s">
        <v>19</v>
      </c>
      <c r="B581">
        <v>580</v>
      </c>
      <c r="C581" t="s">
        <v>540</v>
      </c>
      <c r="D581" t="s">
        <v>21</v>
      </c>
      <c r="E581">
        <v>2018</v>
      </c>
      <c r="F581" t="s">
        <v>47</v>
      </c>
      <c r="G581" t="s">
        <v>23</v>
      </c>
      <c r="H581" t="s">
        <v>17</v>
      </c>
      <c r="I581" t="s">
        <v>48</v>
      </c>
      <c r="J581">
        <v>3.0347404000000001E-2</v>
      </c>
      <c r="L581">
        <v>192.5162</v>
      </c>
      <c r="M581">
        <v>4.7</v>
      </c>
    </row>
    <row r="582" spans="1:13" x14ac:dyDescent="0.3">
      <c r="A582" t="s">
        <v>19</v>
      </c>
      <c r="B582">
        <v>581</v>
      </c>
      <c r="C582" t="s">
        <v>541</v>
      </c>
      <c r="D582" t="s">
        <v>44</v>
      </c>
      <c r="E582">
        <v>2018</v>
      </c>
      <c r="F582" t="s">
        <v>47</v>
      </c>
      <c r="G582" t="s">
        <v>23</v>
      </c>
      <c r="H582" t="s">
        <v>17</v>
      </c>
      <c r="I582" t="s">
        <v>48</v>
      </c>
      <c r="J582">
        <v>4.1091215E-2</v>
      </c>
      <c r="L582">
        <v>89.551400000000001</v>
      </c>
      <c r="M582">
        <v>4.7</v>
      </c>
    </row>
    <row r="583" spans="1:13" x14ac:dyDescent="0.3">
      <c r="A583" t="s">
        <v>19</v>
      </c>
      <c r="B583">
        <v>582</v>
      </c>
      <c r="C583" t="s">
        <v>542</v>
      </c>
      <c r="D583" t="s">
        <v>34</v>
      </c>
      <c r="E583">
        <v>2018</v>
      </c>
      <c r="F583" t="s">
        <v>47</v>
      </c>
      <c r="G583" t="s">
        <v>23</v>
      </c>
      <c r="H583" t="s">
        <v>17</v>
      </c>
      <c r="I583" t="s">
        <v>48</v>
      </c>
      <c r="J583">
        <v>4.8841794000000001E-2</v>
      </c>
      <c r="L583">
        <v>64.716800000000006</v>
      </c>
      <c r="M583">
        <v>4.7</v>
      </c>
    </row>
    <row r="584" spans="1:13" x14ac:dyDescent="0.3">
      <c r="A584" t="s">
        <v>19</v>
      </c>
      <c r="B584">
        <v>583</v>
      </c>
      <c r="C584" t="s">
        <v>543</v>
      </c>
      <c r="D584" t="s">
        <v>34</v>
      </c>
      <c r="E584">
        <v>2018</v>
      </c>
      <c r="F584" t="s">
        <v>47</v>
      </c>
      <c r="G584" t="s">
        <v>23</v>
      </c>
      <c r="H584" t="s">
        <v>17</v>
      </c>
      <c r="I584" t="s">
        <v>48</v>
      </c>
      <c r="J584">
        <v>0.17423237699999999</v>
      </c>
      <c r="L584">
        <v>146.61019999999999</v>
      </c>
      <c r="M584">
        <v>4.7</v>
      </c>
    </row>
    <row r="585" spans="1:13" x14ac:dyDescent="0.3">
      <c r="A585" t="s">
        <v>19</v>
      </c>
      <c r="B585">
        <v>584</v>
      </c>
      <c r="C585" t="s">
        <v>544</v>
      </c>
      <c r="D585" t="s">
        <v>97</v>
      </c>
      <c r="E585">
        <v>2018</v>
      </c>
      <c r="F585" t="s">
        <v>140</v>
      </c>
      <c r="G585" t="s">
        <v>16</v>
      </c>
      <c r="H585" t="s">
        <v>28</v>
      </c>
      <c r="I585" t="s">
        <v>42</v>
      </c>
      <c r="J585">
        <v>0.113720344</v>
      </c>
      <c r="L585">
        <v>89.980400000000003</v>
      </c>
      <c r="M585">
        <v>4.5999999999999996</v>
      </c>
    </row>
    <row r="586" spans="1:13" x14ac:dyDescent="0.3">
      <c r="A586" t="s">
        <v>12</v>
      </c>
      <c r="B586">
        <v>585</v>
      </c>
      <c r="C586" t="s">
        <v>545</v>
      </c>
      <c r="D586" t="s">
        <v>76</v>
      </c>
      <c r="E586">
        <v>2018</v>
      </c>
      <c r="F586" t="s">
        <v>47</v>
      </c>
      <c r="G586" t="s">
        <v>23</v>
      </c>
      <c r="H586" t="s">
        <v>17</v>
      </c>
      <c r="I586" t="s">
        <v>48</v>
      </c>
      <c r="J586">
        <v>3.9057676999999999E-2</v>
      </c>
      <c r="L586">
        <v>155.96299999999999</v>
      </c>
      <c r="M586">
        <v>4.5999999999999996</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547</v>
      </c>
      <c r="D588" t="s">
        <v>69</v>
      </c>
      <c r="E588">
        <v>2016</v>
      </c>
      <c r="F588" t="s">
        <v>27</v>
      </c>
      <c r="G588" t="s">
        <v>16</v>
      </c>
      <c r="H588" t="s">
        <v>28</v>
      </c>
      <c r="I588" t="s">
        <v>18</v>
      </c>
      <c r="J588">
        <v>7.9806266000000001E-2</v>
      </c>
      <c r="K588">
        <v>13.3</v>
      </c>
      <c r="L588">
        <v>232.53</v>
      </c>
      <c r="M588">
        <v>4.5999999999999996</v>
      </c>
    </row>
    <row r="589" spans="1:13" x14ac:dyDescent="0.3">
      <c r="A589" t="s">
        <v>19</v>
      </c>
      <c r="B589">
        <v>588</v>
      </c>
      <c r="C589" t="s">
        <v>380</v>
      </c>
      <c r="D589" t="s">
        <v>44</v>
      </c>
      <c r="E589">
        <v>2018</v>
      </c>
      <c r="F589" t="s">
        <v>140</v>
      </c>
      <c r="G589" t="s">
        <v>16</v>
      </c>
      <c r="H589" t="s">
        <v>28</v>
      </c>
      <c r="I589" t="s">
        <v>42</v>
      </c>
      <c r="J589">
        <v>0.16017883199999999</v>
      </c>
      <c r="L589">
        <v>160.2894</v>
      </c>
      <c r="M589">
        <v>4.5999999999999996</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4.5999999999999996</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556</v>
      </c>
      <c r="D600" t="s">
        <v>69</v>
      </c>
      <c r="E600">
        <v>2018</v>
      </c>
      <c r="F600" t="s">
        <v>140</v>
      </c>
      <c r="G600" t="s">
        <v>16</v>
      </c>
      <c r="H600" t="s">
        <v>28</v>
      </c>
      <c r="I600" t="s">
        <v>42</v>
      </c>
      <c r="J600">
        <v>0.187443314</v>
      </c>
      <c r="L600">
        <v>220.47720000000001</v>
      </c>
      <c r="M600">
        <v>4.5999999999999996</v>
      </c>
    </row>
    <row r="601" spans="1:13" x14ac:dyDescent="0.3">
      <c r="A601" t="s">
        <v>12</v>
      </c>
      <c r="B601">
        <v>600</v>
      </c>
      <c r="C601" t="s">
        <v>557</v>
      </c>
      <c r="D601" t="s">
        <v>161</v>
      </c>
      <c r="E601">
        <v>2018</v>
      </c>
      <c r="F601" t="s">
        <v>140</v>
      </c>
      <c r="G601" t="s">
        <v>16</v>
      </c>
      <c r="H601" t="s">
        <v>28</v>
      </c>
      <c r="I601" t="s">
        <v>42</v>
      </c>
      <c r="J601">
        <v>0.113139486</v>
      </c>
      <c r="L601">
        <v>92.980400000000003</v>
      </c>
      <c r="M601">
        <v>4.5999999999999996</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4.5999999999999996</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4.5999999999999996</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4.5999999999999996</v>
      </c>
    </row>
    <row r="606" spans="1:13" x14ac:dyDescent="0.3">
      <c r="A606" t="s">
        <v>19</v>
      </c>
      <c r="B606">
        <v>605</v>
      </c>
      <c r="C606" t="s">
        <v>543</v>
      </c>
      <c r="D606" t="s">
        <v>34</v>
      </c>
      <c r="E606">
        <v>2016</v>
      </c>
      <c r="F606" t="s">
        <v>27</v>
      </c>
      <c r="G606" t="s">
        <v>16</v>
      </c>
      <c r="H606" t="s">
        <v>28</v>
      </c>
      <c r="I606" t="s">
        <v>18</v>
      </c>
      <c r="J606">
        <v>0</v>
      </c>
      <c r="K606">
        <v>5.6550000000000002</v>
      </c>
      <c r="L606">
        <v>147.5102</v>
      </c>
      <c r="M606">
        <v>4.5999999999999996</v>
      </c>
    </row>
    <row r="607" spans="1:13" x14ac:dyDescent="0.3">
      <c r="A607" t="s">
        <v>12</v>
      </c>
      <c r="B607">
        <v>606</v>
      </c>
      <c r="C607" t="s">
        <v>126</v>
      </c>
      <c r="D607" t="s">
        <v>69</v>
      </c>
      <c r="E607">
        <v>2016</v>
      </c>
      <c r="F607" t="s">
        <v>27</v>
      </c>
      <c r="G607" t="s">
        <v>16</v>
      </c>
      <c r="H607" t="s">
        <v>28</v>
      </c>
      <c r="I607" t="s">
        <v>18</v>
      </c>
      <c r="J607">
        <v>2.9722658999999998E-2</v>
      </c>
      <c r="K607">
        <v>14</v>
      </c>
      <c r="L607">
        <v>143.4786</v>
      </c>
      <c r="M607">
        <v>4.5999999999999996</v>
      </c>
    </row>
    <row r="608" spans="1:13" x14ac:dyDescent="0.3">
      <c r="A608" t="s">
        <v>12</v>
      </c>
      <c r="B608">
        <v>607</v>
      </c>
      <c r="C608" t="s">
        <v>560</v>
      </c>
      <c r="D608" t="s">
        <v>69</v>
      </c>
      <c r="E608">
        <v>2016</v>
      </c>
      <c r="F608" t="s">
        <v>27</v>
      </c>
      <c r="G608" t="s">
        <v>16</v>
      </c>
      <c r="H608" t="s">
        <v>28</v>
      </c>
      <c r="I608" t="s">
        <v>18</v>
      </c>
      <c r="J608">
        <v>1.4793357E-2</v>
      </c>
      <c r="K608">
        <v>20.25</v>
      </c>
      <c r="L608">
        <v>191.5162</v>
      </c>
      <c r="M608">
        <v>4.5999999999999996</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4.5999999999999996</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4.5999999999999996</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4.5999999999999996</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4.5999999999999996</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4.5999999999999996</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4.5999999999999996</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4.5999999999999996</v>
      </c>
    </row>
    <row r="659" spans="1:13" x14ac:dyDescent="0.3">
      <c r="A659" t="s">
        <v>19</v>
      </c>
      <c r="B659">
        <v>658</v>
      </c>
      <c r="C659" t="s">
        <v>112</v>
      </c>
      <c r="D659" t="s">
        <v>44</v>
      </c>
      <c r="E659">
        <v>2014</v>
      </c>
      <c r="F659" t="s">
        <v>31</v>
      </c>
      <c r="G659" t="s">
        <v>23</v>
      </c>
      <c r="H659" t="s">
        <v>32</v>
      </c>
      <c r="I659" t="s">
        <v>18</v>
      </c>
      <c r="J659">
        <v>1.5149955E-2</v>
      </c>
      <c r="K659">
        <v>6.38</v>
      </c>
      <c r="L659">
        <v>144.047</v>
      </c>
      <c r="M659">
        <v>4.5999999999999996</v>
      </c>
    </row>
    <row r="660" spans="1:13" x14ac:dyDescent="0.3">
      <c r="A660" t="s">
        <v>19</v>
      </c>
      <c r="B660">
        <v>659</v>
      </c>
      <c r="C660" t="s">
        <v>594</v>
      </c>
      <c r="D660" t="s">
        <v>66</v>
      </c>
      <c r="E660">
        <v>2014</v>
      </c>
      <c r="F660" t="s">
        <v>31</v>
      </c>
      <c r="G660" t="s">
        <v>23</v>
      </c>
      <c r="H660" t="s">
        <v>32</v>
      </c>
      <c r="I660" t="s">
        <v>18</v>
      </c>
      <c r="J660">
        <v>4.7059016000000002E-2</v>
      </c>
      <c r="K660">
        <v>5.5</v>
      </c>
      <c r="L660">
        <v>100.1016</v>
      </c>
      <c r="M660">
        <v>4.5999999999999996</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4.5999999999999996</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4.5999999999999996</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4.5999999999999996</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4.5999999999999996</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4.5999999999999996</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4.5999999999999996</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4.5999999999999996</v>
      </c>
    </row>
    <row r="669" spans="1:13" x14ac:dyDescent="0.3">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606</v>
      </c>
      <c r="D677" t="s">
        <v>14</v>
      </c>
      <c r="E677">
        <v>2018</v>
      </c>
      <c r="F677" t="s">
        <v>47</v>
      </c>
      <c r="G677" t="s">
        <v>23</v>
      </c>
      <c r="H677" t="s">
        <v>17</v>
      </c>
      <c r="I677" t="s">
        <v>48</v>
      </c>
      <c r="J677">
        <v>2.2291121000000001E-2</v>
      </c>
      <c r="L677">
        <v>93.609399999999994</v>
      </c>
      <c r="M677">
        <v>4.5999999999999996</v>
      </c>
    </row>
    <row r="678" spans="1:13" x14ac:dyDescent="0.3">
      <c r="A678" t="s">
        <v>19</v>
      </c>
      <c r="B678">
        <v>677</v>
      </c>
      <c r="C678" t="s">
        <v>385</v>
      </c>
      <c r="D678" t="s">
        <v>56</v>
      </c>
      <c r="E678">
        <v>2018</v>
      </c>
      <c r="F678" t="s">
        <v>47</v>
      </c>
      <c r="G678" t="s">
        <v>23</v>
      </c>
      <c r="H678" t="s">
        <v>17</v>
      </c>
      <c r="I678" t="s">
        <v>48</v>
      </c>
      <c r="J678">
        <v>0</v>
      </c>
      <c r="L678">
        <v>109.1938</v>
      </c>
      <c r="M678">
        <v>4.5999999999999996</v>
      </c>
    </row>
    <row r="679" spans="1:13" x14ac:dyDescent="0.3">
      <c r="A679" t="s">
        <v>19</v>
      </c>
      <c r="B679">
        <v>678</v>
      </c>
      <c r="C679" t="s">
        <v>579</v>
      </c>
      <c r="D679" t="s">
        <v>56</v>
      </c>
      <c r="E679">
        <v>2018</v>
      </c>
      <c r="F679" t="s">
        <v>47</v>
      </c>
      <c r="G679" t="s">
        <v>23</v>
      </c>
      <c r="H679" t="s">
        <v>17</v>
      </c>
      <c r="I679" t="s">
        <v>48</v>
      </c>
      <c r="J679">
        <v>0.155541973</v>
      </c>
      <c r="L679">
        <v>159.7578</v>
      </c>
      <c r="M679">
        <v>4.5999999999999996</v>
      </c>
    </row>
    <row r="680" spans="1:13" x14ac:dyDescent="0.3">
      <c r="A680" t="s">
        <v>19</v>
      </c>
      <c r="B680">
        <v>679</v>
      </c>
      <c r="C680" t="s">
        <v>607</v>
      </c>
      <c r="D680" t="s">
        <v>50</v>
      </c>
      <c r="E680">
        <v>2018</v>
      </c>
      <c r="F680" t="s">
        <v>47</v>
      </c>
      <c r="G680" t="s">
        <v>23</v>
      </c>
      <c r="H680" t="s">
        <v>17</v>
      </c>
      <c r="I680" t="s">
        <v>48</v>
      </c>
      <c r="J680">
        <v>0.141129263</v>
      </c>
      <c r="L680">
        <v>121.60720000000001</v>
      </c>
      <c r="M680">
        <v>4.5999999999999996</v>
      </c>
    </row>
    <row r="681" spans="1:13" x14ac:dyDescent="0.3">
      <c r="A681" t="s">
        <v>12</v>
      </c>
      <c r="B681">
        <v>680</v>
      </c>
      <c r="C681" t="s">
        <v>274</v>
      </c>
      <c r="D681" t="s">
        <v>14</v>
      </c>
      <c r="E681">
        <v>2018</v>
      </c>
      <c r="F681" t="s">
        <v>47</v>
      </c>
      <c r="G681" t="s">
        <v>23</v>
      </c>
      <c r="H681" t="s">
        <v>17</v>
      </c>
      <c r="I681" t="s">
        <v>48</v>
      </c>
      <c r="J681">
        <v>0.15842451599999999</v>
      </c>
      <c r="L681">
        <v>62.419400000000003</v>
      </c>
      <c r="M681">
        <v>4.5999999999999996</v>
      </c>
    </row>
    <row r="682" spans="1:13" x14ac:dyDescent="0.3">
      <c r="A682" t="s">
        <v>12</v>
      </c>
      <c r="B682">
        <v>681</v>
      </c>
      <c r="C682" t="s">
        <v>608</v>
      </c>
      <c r="D682" t="s">
        <v>14</v>
      </c>
      <c r="E682">
        <v>2018</v>
      </c>
      <c r="F682" t="s">
        <v>47</v>
      </c>
      <c r="G682" t="s">
        <v>23</v>
      </c>
      <c r="H682" t="s">
        <v>17</v>
      </c>
      <c r="I682" t="s">
        <v>48</v>
      </c>
      <c r="J682">
        <v>4.3978369000000003E-2</v>
      </c>
      <c r="L682">
        <v>178.43180000000001</v>
      </c>
      <c r="M682">
        <v>4.5999999999999996</v>
      </c>
    </row>
    <row r="683" spans="1:13" x14ac:dyDescent="0.3">
      <c r="A683" t="s">
        <v>12</v>
      </c>
      <c r="B683">
        <v>682</v>
      </c>
      <c r="C683" t="s">
        <v>609</v>
      </c>
      <c r="D683" t="s">
        <v>56</v>
      </c>
      <c r="E683">
        <v>2018</v>
      </c>
      <c r="F683" t="s">
        <v>47</v>
      </c>
      <c r="G683" t="s">
        <v>23</v>
      </c>
      <c r="H683" t="s">
        <v>17</v>
      </c>
      <c r="I683" t="s">
        <v>48</v>
      </c>
      <c r="J683">
        <v>3.6731658E-2</v>
      </c>
      <c r="L683">
        <v>177.23699999999999</v>
      </c>
      <c r="M683">
        <v>4.5999999999999996</v>
      </c>
    </row>
    <row r="684" spans="1:13" x14ac:dyDescent="0.3">
      <c r="A684" t="s">
        <v>12</v>
      </c>
      <c r="B684">
        <v>683</v>
      </c>
      <c r="C684" t="s">
        <v>610</v>
      </c>
      <c r="D684" t="s">
        <v>56</v>
      </c>
      <c r="E684">
        <v>2018</v>
      </c>
      <c r="F684" t="s">
        <v>47</v>
      </c>
      <c r="G684" t="s">
        <v>23</v>
      </c>
      <c r="H684" t="s">
        <v>17</v>
      </c>
      <c r="I684" t="s">
        <v>48</v>
      </c>
      <c r="J684">
        <v>0</v>
      </c>
      <c r="L684">
        <v>182.0608</v>
      </c>
      <c r="M684">
        <v>4.5999999999999996</v>
      </c>
    </row>
    <row r="685" spans="1:13" x14ac:dyDescent="0.3">
      <c r="A685" t="s">
        <v>37</v>
      </c>
      <c r="B685">
        <v>684</v>
      </c>
      <c r="C685" t="s">
        <v>173</v>
      </c>
      <c r="D685" t="s">
        <v>21</v>
      </c>
      <c r="E685">
        <v>2018</v>
      </c>
      <c r="F685" t="s">
        <v>47</v>
      </c>
      <c r="G685" t="s">
        <v>23</v>
      </c>
      <c r="H685" t="s">
        <v>17</v>
      </c>
      <c r="I685" t="s">
        <v>48</v>
      </c>
      <c r="J685">
        <v>1.8813776000000001E-2</v>
      </c>
      <c r="L685">
        <v>235.25899999999999</v>
      </c>
      <c r="M685">
        <v>4.5999999999999996</v>
      </c>
    </row>
    <row r="686" spans="1:13" x14ac:dyDescent="0.3">
      <c r="A686" t="s">
        <v>12</v>
      </c>
      <c r="B686">
        <v>685</v>
      </c>
      <c r="C686" t="s">
        <v>160</v>
      </c>
      <c r="D686" t="s">
        <v>161</v>
      </c>
      <c r="E686">
        <v>2018</v>
      </c>
      <c r="F686" t="s">
        <v>47</v>
      </c>
      <c r="G686" t="s">
        <v>23</v>
      </c>
      <c r="H686" t="s">
        <v>17</v>
      </c>
      <c r="I686" t="s">
        <v>48</v>
      </c>
      <c r="J686">
        <v>7.0068830000000002E-3</v>
      </c>
      <c r="L686">
        <v>173.57380000000001</v>
      </c>
      <c r="M686">
        <v>4.5999999999999996</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v>689</v>
      </c>
      <c r="C690" t="s">
        <v>614</v>
      </c>
      <c r="D690" t="s">
        <v>97</v>
      </c>
      <c r="E690">
        <v>2022</v>
      </c>
      <c r="F690" t="s">
        <v>22</v>
      </c>
      <c r="G690" t="s">
        <v>23</v>
      </c>
      <c r="H690" t="s">
        <v>17</v>
      </c>
      <c r="I690" t="s">
        <v>24</v>
      </c>
      <c r="J690">
        <v>0</v>
      </c>
      <c r="K690">
        <v>5.4649999999999999</v>
      </c>
      <c r="L690">
        <v>132.5626</v>
      </c>
      <c r="M690">
        <v>4.5</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4.5</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v>697</v>
      </c>
      <c r="C698" t="s">
        <v>254</v>
      </c>
      <c r="D698" t="s">
        <v>30</v>
      </c>
      <c r="E698">
        <v>2018</v>
      </c>
      <c r="F698" t="s">
        <v>47</v>
      </c>
      <c r="G698" t="s">
        <v>23</v>
      </c>
      <c r="H698" t="s">
        <v>17</v>
      </c>
      <c r="I698" t="s">
        <v>48</v>
      </c>
      <c r="J698">
        <v>1.1953902000000001E-2</v>
      </c>
      <c r="L698">
        <v>164.51840000000001</v>
      </c>
      <c r="M698">
        <v>4.5</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4.5</v>
      </c>
    </row>
    <row r="700" spans="1:13" x14ac:dyDescent="0.3">
      <c r="A700" t="s">
        <v>19</v>
      </c>
      <c r="B700">
        <v>699</v>
      </c>
      <c r="C700" t="s">
        <v>621</v>
      </c>
      <c r="D700" t="s">
        <v>44</v>
      </c>
      <c r="E700">
        <v>2018</v>
      </c>
      <c r="F700" t="s">
        <v>47</v>
      </c>
      <c r="G700" t="s">
        <v>23</v>
      </c>
      <c r="H700" t="s">
        <v>17</v>
      </c>
      <c r="I700" t="s">
        <v>48</v>
      </c>
      <c r="J700">
        <v>5.9776237000000003E-2</v>
      </c>
      <c r="L700">
        <v>231.76419999999999</v>
      </c>
      <c r="M700">
        <v>4.5</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v>701</v>
      </c>
      <c r="C702" t="s">
        <v>622</v>
      </c>
      <c r="D702" t="s">
        <v>14</v>
      </c>
      <c r="E702">
        <v>2012</v>
      </c>
      <c r="F702" t="s">
        <v>15</v>
      </c>
      <c r="G702" t="s">
        <v>16</v>
      </c>
      <c r="H702" t="s">
        <v>17</v>
      </c>
      <c r="I702" t="s">
        <v>18</v>
      </c>
      <c r="J702">
        <v>0.100330684</v>
      </c>
      <c r="K702">
        <v>20.7</v>
      </c>
      <c r="L702">
        <v>123.4388</v>
      </c>
      <c r="M702">
        <v>4.5</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4.5</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625</v>
      </c>
      <c r="D705" t="s">
        <v>50</v>
      </c>
      <c r="E705">
        <v>2017</v>
      </c>
      <c r="F705" t="s">
        <v>52</v>
      </c>
      <c r="G705" t="s">
        <v>36</v>
      </c>
      <c r="H705" t="s">
        <v>28</v>
      </c>
      <c r="I705" t="s">
        <v>18</v>
      </c>
      <c r="J705">
        <v>0.128065918</v>
      </c>
      <c r="K705">
        <v>19</v>
      </c>
      <c r="L705">
        <v>104.3622</v>
      </c>
      <c r="M705">
        <v>4.5</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607</v>
      </c>
      <c r="D707" t="s">
        <v>50</v>
      </c>
      <c r="E707">
        <v>2012</v>
      </c>
      <c r="F707" t="s">
        <v>15</v>
      </c>
      <c r="G707" t="s">
        <v>16</v>
      </c>
      <c r="H707" t="s">
        <v>17</v>
      </c>
      <c r="I707" t="s">
        <v>18</v>
      </c>
      <c r="J707">
        <v>0</v>
      </c>
      <c r="K707">
        <v>20.350000000000001</v>
      </c>
      <c r="L707">
        <v>120.9072</v>
      </c>
      <c r="M707">
        <v>4.5</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4.5</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4.5</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v>720</v>
      </c>
      <c r="C721" t="s">
        <v>637</v>
      </c>
      <c r="D721" t="s">
        <v>26</v>
      </c>
      <c r="E721">
        <v>2012</v>
      </c>
      <c r="F721" t="s">
        <v>15</v>
      </c>
      <c r="G721" t="s">
        <v>16</v>
      </c>
      <c r="H721" t="s">
        <v>17</v>
      </c>
      <c r="I721" t="s">
        <v>18</v>
      </c>
      <c r="J721">
        <v>4.2687151E-2</v>
      </c>
      <c r="K721">
        <v>5.19</v>
      </c>
      <c r="L721">
        <v>195.911</v>
      </c>
      <c r="M721">
        <v>4.5</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4.5</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556</v>
      </c>
      <c r="D740" t="s">
        <v>69</v>
      </c>
      <c r="E740">
        <v>2012</v>
      </c>
      <c r="F740" t="s">
        <v>15</v>
      </c>
      <c r="G740" t="s">
        <v>16</v>
      </c>
      <c r="H740" t="s">
        <v>17</v>
      </c>
      <c r="I740" t="s">
        <v>18</v>
      </c>
      <c r="J740">
        <v>0.107223632</v>
      </c>
      <c r="K740">
        <v>11.8</v>
      </c>
      <c r="L740">
        <v>223.5772</v>
      </c>
      <c r="M740">
        <v>4.5</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v>745</v>
      </c>
      <c r="C746" t="s">
        <v>518</v>
      </c>
      <c r="D746" t="s">
        <v>69</v>
      </c>
      <c r="E746">
        <v>2018</v>
      </c>
      <c r="F746" t="s">
        <v>140</v>
      </c>
      <c r="G746" t="s">
        <v>16</v>
      </c>
      <c r="H746" t="s">
        <v>28</v>
      </c>
      <c r="I746" t="s">
        <v>42</v>
      </c>
      <c r="J746">
        <v>9.9442328999999996E-2</v>
      </c>
      <c r="L746">
        <v>233.16419999999999</v>
      </c>
      <c r="M746">
        <v>4.5</v>
      </c>
    </row>
    <row r="747" spans="1:13" x14ac:dyDescent="0.3">
      <c r="A747" t="s">
        <v>19</v>
      </c>
      <c r="B747">
        <v>746</v>
      </c>
      <c r="C747" t="s">
        <v>652</v>
      </c>
      <c r="D747" t="s">
        <v>14</v>
      </c>
      <c r="E747">
        <v>2018</v>
      </c>
      <c r="F747" t="s">
        <v>140</v>
      </c>
      <c r="G747" t="s">
        <v>16</v>
      </c>
      <c r="H747" t="s">
        <v>28</v>
      </c>
      <c r="I747" t="s">
        <v>42</v>
      </c>
      <c r="J747">
        <v>0.22628438100000001</v>
      </c>
      <c r="L747">
        <v>163.221</v>
      </c>
      <c r="M747">
        <v>4.5</v>
      </c>
    </row>
    <row r="748" spans="1:13" x14ac:dyDescent="0.3">
      <c r="A748" t="s">
        <v>19</v>
      </c>
      <c r="B748">
        <v>747</v>
      </c>
      <c r="C748" t="s">
        <v>415</v>
      </c>
      <c r="D748" t="s">
        <v>44</v>
      </c>
      <c r="E748">
        <v>2018</v>
      </c>
      <c r="F748" t="s">
        <v>140</v>
      </c>
      <c r="G748" t="s">
        <v>16</v>
      </c>
      <c r="H748" t="s">
        <v>28</v>
      </c>
      <c r="I748" t="s">
        <v>42</v>
      </c>
      <c r="J748">
        <v>0.12998368799999999</v>
      </c>
      <c r="L748">
        <v>93.046199999999999</v>
      </c>
      <c r="M748">
        <v>4.5</v>
      </c>
    </row>
    <row r="749" spans="1:13" x14ac:dyDescent="0.3">
      <c r="A749" t="s">
        <v>19</v>
      </c>
      <c r="B749">
        <v>748</v>
      </c>
      <c r="C749" t="s">
        <v>653</v>
      </c>
      <c r="D749" t="s">
        <v>44</v>
      </c>
      <c r="E749">
        <v>2018</v>
      </c>
      <c r="F749" t="s">
        <v>140</v>
      </c>
      <c r="G749" t="s">
        <v>16</v>
      </c>
      <c r="H749" t="s">
        <v>28</v>
      </c>
      <c r="I749" t="s">
        <v>42</v>
      </c>
      <c r="J749">
        <v>2.7532258E-2</v>
      </c>
      <c r="L749">
        <v>185.0608</v>
      </c>
      <c r="M749">
        <v>4.5</v>
      </c>
    </row>
    <row r="750" spans="1:13" x14ac:dyDescent="0.3">
      <c r="A750" t="s">
        <v>19</v>
      </c>
      <c r="B750">
        <v>749</v>
      </c>
      <c r="C750" t="s">
        <v>654</v>
      </c>
      <c r="D750" t="s">
        <v>44</v>
      </c>
      <c r="E750">
        <v>2018</v>
      </c>
      <c r="F750" t="s">
        <v>140</v>
      </c>
      <c r="G750" t="s">
        <v>16</v>
      </c>
      <c r="H750" t="s">
        <v>28</v>
      </c>
      <c r="I750" t="s">
        <v>42</v>
      </c>
      <c r="J750">
        <v>7.3229342000000003E-2</v>
      </c>
      <c r="L750">
        <v>254.10140000000001</v>
      </c>
      <c r="M750">
        <v>4.5</v>
      </c>
    </row>
    <row r="751" spans="1:13" x14ac:dyDescent="0.3">
      <c r="A751" t="s">
        <v>19</v>
      </c>
      <c r="B751">
        <v>750</v>
      </c>
      <c r="C751" t="s">
        <v>655</v>
      </c>
      <c r="D751" t="s">
        <v>44</v>
      </c>
      <c r="E751">
        <v>2018</v>
      </c>
      <c r="F751" t="s">
        <v>140</v>
      </c>
      <c r="G751" t="s">
        <v>16</v>
      </c>
      <c r="H751" t="s">
        <v>28</v>
      </c>
      <c r="I751" t="s">
        <v>42</v>
      </c>
      <c r="J751">
        <v>0.116750407</v>
      </c>
      <c r="L751">
        <v>195.24780000000001</v>
      </c>
      <c r="M751">
        <v>4.5</v>
      </c>
    </row>
    <row r="752" spans="1:13" x14ac:dyDescent="0.3">
      <c r="A752" t="s">
        <v>19</v>
      </c>
      <c r="B752">
        <v>751</v>
      </c>
      <c r="C752" t="s">
        <v>656</v>
      </c>
      <c r="D752" t="s">
        <v>44</v>
      </c>
      <c r="E752">
        <v>2018</v>
      </c>
      <c r="F752" t="s">
        <v>140</v>
      </c>
      <c r="G752" t="s">
        <v>16</v>
      </c>
      <c r="H752" t="s">
        <v>28</v>
      </c>
      <c r="I752" t="s">
        <v>42</v>
      </c>
      <c r="J752">
        <v>0.14595153299999999</v>
      </c>
      <c r="L752">
        <v>160.95519999999999</v>
      </c>
      <c r="M752">
        <v>4.5</v>
      </c>
    </row>
    <row r="753" spans="1:13" x14ac:dyDescent="0.3">
      <c r="A753" t="s">
        <v>19</v>
      </c>
      <c r="B753">
        <v>752</v>
      </c>
      <c r="C753" t="s">
        <v>470</v>
      </c>
      <c r="D753" t="s">
        <v>66</v>
      </c>
      <c r="E753">
        <v>2018</v>
      </c>
      <c r="F753" t="s">
        <v>140</v>
      </c>
      <c r="G753" t="s">
        <v>16</v>
      </c>
      <c r="H753" t="s">
        <v>28</v>
      </c>
      <c r="I753" t="s">
        <v>42</v>
      </c>
      <c r="J753">
        <v>3.5997636E-2</v>
      </c>
      <c r="L753">
        <v>78.661799999999999</v>
      </c>
      <c r="M753">
        <v>4.5</v>
      </c>
    </row>
    <row r="754" spans="1:13" x14ac:dyDescent="0.3">
      <c r="A754" t="s">
        <v>19</v>
      </c>
      <c r="B754">
        <v>753</v>
      </c>
      <c r="C754" t="s">
        <v>471</v>
      </c>
      <c r="D754" t="s">
        <v>50</v>
      </c>
      <c r="E754">
        <v>2018</v>
      </c>
      <c r="F754" t="s">
        <v>140</v>
      </c>
      <c r="G754" t="s">
        <v>16</v>
      </c>
      <c r="H754" t="s">
        <v>28</v>
      </c>
      <c r="I754" t="s">
        <v>42</v>
      </c>
      <c r="J754">
        <v>0.164006137</v>
      </c>
      <c r="L754">
        <v>113.2834</v>
      </c>
      <c r="M754">
        <v>4.5</v>
      </c>
    </row>
    <row r="755" spans="1:13" x14ac:dyDescent="0.3">
      <c r="A755" t="s">
        <v>19</v>
      </c>
      <c r="B755">
        <v>754</v>
      </c>
      <c r="C755" t="s">
        <v>657</v>
      </c>
      <c r="D755" t="s">
        <v>50</v>
      </c>
      <c r="E755">
        <v>2018</v>
      </c>
      <c r="F755" t="s">
        <v>140</v>
      </c>
      <c r="G755" t="s">
        <v>16</v>
      </c>
      <c r="H755" t="s">
        <v>28</v>
      </c>
      <c r="I755" t="s">
        <v>42</v>
      </c>
      <c r="J755">
        <v>4.6903970000000003E-2</v>
      </c>
      <c r="L755">
        <v>110.657</v>
      </c>
      <c r="M755">
        <v>4.5</v>
      </c>
    </row>
    <row r="756" spans="1:13" x14ac:dyDescent="0.3">
      <c r="A756" t="s">
        <v>19</v>
      </c>
      <c r="B756">
        <v>755</v>
      </c>
      <c r="C756" t="s">
        <v>658</v>
      </c>
      <c r="D756" t="s">
        <v>50</v>
      </c>
      <c r="E756">
        <v>2018</v>
      </c>
      <c r="F756" t="s">
        <v>140</v>
      </c>
      <c r="G756" t="s">
        <v>16</v>
      </c>
      <c r="H756" t="s">
        <v>28</v>
      </c>
      <c r="I756" t="s">
        <v>42</v>
      </c>
      <c r="J756">
        <v>0.18111405899999999</v>
      </c>
      <c r="L756">
        <v>141.64699999999999</v>
      </c>
      <c r="M756">
        <v>4.5</v>
      </c>
    </row>
    <row r="757" spans="1:13" x14ac:dyDescent="0.3">
      <c r="A757" t="s">
        <v>19</v>
      </c>
      <c r="B757">
        <v>756</v>
      </c>
      <c r="C757" t="s">
        <v>659</v>
      </c>
      <c r="D757" t="s">
        <v>34</v>
      </c>
      <c r="E757">
        <v>2018</v>
      </c>
      <c r="F757" t="s">
        <v>140</v>
      </c>
      <c r="G757" t="s">
        <v>16</v>
      </c>
      <c r="H757" t="s">
        <v>28</v>
      </c>
      <c r="I757" t="s">
        <v>42</v>
      </c>
      <c r="J757">
        <v>0.17141731599999999</v>
      </c>
      <c r="L757">
        <v>173.07380000000001</v>
      </c>
      <c r="M757">
        <v>4.5</v>
      </c>
    </row>
    <row r="758" spans="1:13" x14ac:dyDescent="0.3">
      <c r="A758" t="s">
        <v>12</v>
      </c>
      <c r="B758">
        <v>757</v>
      </c>
      <c r="C758" t="s">
        <v>321</v>
      </c>
      <c r="D758" t="s">
        <v>50</v>
      </c>
      <c r="E758">
        <v>2018</v>
      </c>
      <c r="F758" t="s">
        <v>140</v>
      </c>
      <c r="G758" t="s">
        <v>16</v>
      </c>
      <c r="H758" t="s">
        <v>28</v>
      </c>
      <c r="I758" t="s">
        <v>42</v>
      </c>
      <c r="J758">
        <v>0.184359831</v>
      </c>
      <c r="L758">
        <v>172.6764</v>
      </c>
      <c r="M758">
        <v>4.5</v>
      </c>
    </row>
    <row r="759" spans="1:13" x14ac:dyDescent="0.3">
      <c r="A759" t="s">
        <v>12</v>
      </c>
      <c r="B759">
        <v>758</v>
      </c>
      <c r="C759" t="s">
        <v>660</v>
      </c>
      <c r="D759" t="s">
        <v>50</v>
      </c>
      <c r="E759">
        <v>2018</v>
      </c>
      <c r="F759" t="s">
        <v>140</v>
      </c>
      <c r="G759" t="s">
        <v>16</v>
      </c>
      <c r="H759" t="s">
        <v>28</v>
      </c>
      <c r="I759" t="s">
        <v>42</v>
      </c>
      <c r="J759">
        <v>0.11744283799999999</v>
      </c>
      <c r="L759">
        <v>257.73039999999997</v>
      </c>
      <c r="M759">
        <v>4.5</v>
      </c>
    </row>
    <row r="760" spans="1:13" x14ac:dyDescent="0.3">
      <c r="A760" t="s">
        <v>12</v>
      </c>
      <c r="B760">
        <v>759</v>
      </c>
      <c r="C760" t="s">
        <v>661</v>
      </c>
      <c r="D760" t="s">
        <v>50</v>
      </c>
      <c r="E760">
        <v>2018</v>
      </c>
      <c r="F760" t="s">
        <v>140</v>
      </c>
      <c r="G760" t="s">
        <v>16</v>
      </c>
      <c r="H760" t="s">
        <v>28</v>
      </c>
      <c r="I760" t="s">
        <v>42</v>
      </c>
      <c r="J760">
        <v>2.1471456E-2</v>
      </c>
      <c r="L760">
        <v>131.0284</v>
      </c>
      <c r="M760">
        <v>4.5</v>
      </c>
    </row>
    <row r="761" spans="1:13" x14ac:dyDescent="0.3">
      <c r="A761" t="s">
        <v>12</v>
      </c>
      <c r="B761">
        <v>760</v>
      </c>
      <c r="C761" t="s">
        <v>662</v>
      </c>
      <c r="D761" t="s">
        <v>50</v>
      </c>
      <c r="E761">
        <v>2018</v>
      </c>
      <c r="F761" t="s">
        <v>140</v>
      </c>
      <c r="G761" t="s">
        <v>16</v>
      </c>
      <c r="H761" t="s">
        <v>28</v>
      </c>
      <c r="I761" t="s">
        <v>42</v>
      </c>
      <c r="J761">
        <v>0.17018662800000001</v>
      </c>
      <c r="L761">
        <v>159.02619999999999</v>
      </c>
      <c r="M761">
        <v>4.5</v>
      </c>
    </row>
    <row r="762" spans="1:13" x14ac:dyDescent="0.3">
      <c r="A762" t="s">
        <v>37</v>
      </c>
      <c r="B762">
        <v>761</v>
      </c>
      <c r="C762" t="s">
        <v>420</v>
      </c>
      <c r="D762" t="s">
        <v>50</v>
      </c>
      <c r="E762">
        <v>2018</v>
      </c>
      <c r="F762" t="s">
        <v>140</v>
      </c>
      <c r="G762" t="s">
        <v>16</v>
      </c>
      <c r="H762" t="s">
        <v>28</v>
      </c>
      <c r="I762" t="s">
        <v>42</v>
      </c>
      <c r="J762">
        <v>5.9336763000000001E-2</v>
      </c>
      <c r="L762">
        <v>212.1902</v>
      </c>
      <c r="M762">
        <v>4.5</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4.5</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4.5</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4.5</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4.5</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4.5</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4.5</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4.5</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4.5</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4.5</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4.5</v>
      </c>
    </row>
    <row r="773" spans="1:13" x14ac:dyDescent="0.3">
      <c r="A773" t="s">
        <v>19</v>
      </c>
      <c r="B773">
        <v>772</v>
      </c>
      <c r="C773" t="s">
        <v>670</v>
      </c>
      <c r="D773" t="s">
        <v>14</v>
      </c>
      <c r="E773">
        <v>2016</v>
      </c>
      <c r="F773" t="s">
        <v>27</v>
      </c>
      <c r="G773" t="s">
        <v>16</v>
      </c>
      <c r="H773" t="s">
        <v>28</v>
      </c>
      <c r="I773" t="s">
        <v>18</v>
      </c>
      <c r="J773">
        <v>0</v>
      </c>
      <c r="K773">
        <v>16.75</v>
      </c>
      <c r="L773">
        <v>255.39879999999999</v>
      </c>
      <c r="M773">
        <v>4.5</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4.5</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4.5</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4.5</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4.5</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4.5</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4.5</v>
      </c>
    </row>
    <row r="780" spans="1:13" x14ac:dyDescent="0.3">
      <c r="A780" t="s">
        <v>19</v>
      </c>
      <c r="B780">
        <v>779</v>
      </c>
      <c r="C780" t="s">
        <v>675</v>
      </c>
      <c r="D780" t="s">
        <v>44</v>
      </c>
      <c r="E780">
        <v>2016</v>
      </c>
      <c r="F780" t="s">
        <v>27</v>
      </c>
      <c r="G780" t="s">
        <v>16</v>
      </c>
      <c r="H780" t="s">
        <v>28</v>
      </c>
      <c r="I780" t="s">
        <v>18</v>
      </c>
      <c r="J780">
        <v>2.4651269E-2</v>
      </c>
      <c r="K780">
        <v>13.15</v>
      </c>
      <c r="L780">
        <v>179.5686</v>
      </c>
      <c r="M780">
        <v>4.5</v>
      </c>
    </row>
    <row r="781" spans="1:13" x14ac:dyDescent="0.3">
      <c r="A781" t="s">
        <v>19</v>
      </c>
      <c r="B781">
        <v>780</v>
      </c>
      <c r="C781" t="s">
        <v>415</v>
      </c>
      <c r="D781" t="s">
        <v>44</v>
      </c>
      <c r="E781">
        <v>2016</v>
      </c>
      <c r="F781" t="s">
        <v>27</v>
      </c>
      <c r="G781" t="s">
        <v>16</v>
      </c>
      <c r="H781" t="s">
        <v>28</v>
      </c>
      <c r="I781" t="s">
        <v>18</v>
      </c>
      <c r="J781">
        <v>0</v>
      </c>
      <c r="K781">
        <v>20.2</v>
      </c>
      <c r="L781">
        <v>94.146199999999993</v>
      </c>
      <c r="M781">
        <v>4.5</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4.5</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4.5</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4.5</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4.5</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4.5</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4.5</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4.5</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4.5</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4.5</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672</v>
      </c>
      <c r="D801" t="s">
        <v>21</v>
      </c>
      <c r="E801">
        <v>2015</v>
      </c>
      <c r="F801" t="s">
        <v>35</v>
      </c>
      <c r="G801" t="s">
        <v>36</v>
      </c>
      <c r="H801" t="s">
        <v>28</v>
      </c>
      <c r="I801" t="s">
        <v>18</v>
      </c>
      <c r="J801">
        <v>0</v>
      </c>
      <c r="K801">
        <v>18.2</v>
      </c>
      <c r="L801">
        <v>44.108600000000003</v>
      </c>
      <c r="M801">
        <v>4.5</v>
      </c>
    </row>
    <row r="802" spans="1:13" x14ac:dyDescent="0.3">
      <c r="A802" t="s">
        <v>19</v>
      </c>
      <c r="B802">
        <v>801</v>
      </c>
      <c r="C802" t="s">
        <v>688</v>
      </c>
      <c r="D802" t="s">
        <v>21</v>
      </c>
      <c r="E802">
        <v>2015</v>
      </c>
      <c r="F802" t="s">
        <v>35</v>
      </c>
      <c r="G802" t="s">
        <v>36</v>
      </c>
      <c r="H802" t="s">
        <v>28</v>
      </c>
      <c r="I802" t="s">
        <v>18</v>
      </c>
      <c r="J802">
        <v>0.113833823</v>
      </c>
      <c r="K802">
        <v>21.25</v>
      </c>
      <c r="L802">
        <v>232.83</v>
      </c>
      <c r="M802">
        <v>4.5</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451</v>
      </c>
      <c r="D807" t="s">
        <v>34</v>
      </c>
      <c r="E807">
        <v>2015</v>
      </c>
      <c r="F807" t="s">
        <v>35</v>
      </c>
      <c r="G807" t="s">
        <v>36</v>
      </c>
      <c r="H807" t="s">
        <v>28</v>
      </c>
      <c r="I807" t="s">
        <v>18</v>
      </c>
      <c r="J807">
        <v>0</v>
      </c>
      <c r="K807">
        <v>4.59</v>
      </c>
      <c r="L807">
        <v>111.18600000000001</v>
      </c>
      <c r="M807">
        <v>4.5</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695</v>
      </c>
      <c r="D818" t="s">
        <v>44</v>
      </c>
      <c r="E818">
        <v>2020</v>
      </c>
      <c r="F818" t="s">
        <v>39</v>
      </c>
      <c r="G818" t="s">
        <v>36</v>
      </c>
      <c r="H818" t="s">
        <v>32</v>
      </c>
      <c r="I818" t="s">
        <v>18</v>
      </c>
      <c r="J818">
        <v>0</v>
      </c>
      <c r="K818">
        <v>16.25</v>
      </c>
      <c r="L818">
        <v>115.2176</v>
      </c>
      <c r="M818">
        <v>4.5</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v>829</v>
      </c>
      <c r="C830" t="s">
        <v>704</v>
      </c>
      <c r="D830" t="s">
        <v>69</v>
      </c>
      <c r="E830">
        <v>2020</v>
      </c>
      <c r="F830" t="s">
        <v>39</v>
      </c>
      <c r="G830" t="s">
        <v>36</v>
      </c>
      <c r="H830" t="s">
        <v>32</v>
      </c>
      <c r="I830" t="s">
        <v>18</v>
      </c>
      <c r="J830">
        <v>4.7857877E-2</v>
      </c>
      <c r="K830">
        <v>7.71</v>
      </c>
      <c r="L830">
        <v>119.7756</v>
      </c>
      <c r="M830">
        <v>4.5</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260</v>
      </c>
      <c r="D832" t="s">
        <v>56</v>
      </c>
      <c r="E832">
        <v>2020</v>
      </c>
      <c r="F832" t="s">
        <v>39</v>
      </c>
      <c r="G832" t="s">
        <v>36</v>
      </c>
      <c r="H832" t="s">
        <v>17</v>
      </c>
      <c r="I832" t="s">
        <v>18</v>
      </c>
      <c r="J832">
        <v>0</v>
      </c>
      <c r="K832">
        <v>5.15</v>
      </c>
      <c r="L832">
        <v>122.9388</v>
      </c>
      <c r="M832">
        <v>4.5</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v>834</v>
      </c>
      <c r="C835" t="s">
        <v>367</v>
      </c>
      <c r="D835" t="s">
        <v>50</v>
      </c>
      <c r="E835">
        <v>2020</v>
      </c>
      <c r="F835" t="s">
        <v>39</v>
      </c>
      <c r="G835" t="s">
        <v>36</v>
      </c>
      <c r="H835" t="s">
        <v>17</v>
      </c>
      <c r="I835" t="s">
        <v>18</v>
      </c>
      <c r="J835">
        <v>0</v>
      </c>
      <c r="K835">
        <v>9.6</v>
      </c>
      <c r="L835">
        <v>191.0872</v>
      </c>
      <c r="M835">
        <v>4.5</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v>836</v>
      </c>
      <c r="C837" t="s">
        <v>706</v>
      </c>
      <c r="D837" t="s">
        <v>59</v>
      </c>
      <c r="E837">
        <v>2015</v>
      </c>
      <c r="F837" t="s">
        <v>35</v>
      </c>
      <c r="G837" t="s">
        <v>36</v>
      </c>
      <c r="H837" t="s">
        <v>17</v>
      </c>
      <c r="I837" t="s">
        <v>18</v>
      </c>
      <c r="J837">
        <v>0</v>
      </c>
      <c r="K837">
        <v>6.44</v>
      </c>
      <c r="L837">
        <v>99.87</v>
      </c>
      <c r="M837">
        <v>4.5</v>
      </c>
    </row>
    <row r="838" spans="1:13" x14ac:dyDescent="0.3">
      <c r="A838" t="s">
        <v>19</v>
      </c>
      <c r="B838">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v>847</v>
      </c>
      <c r="C848" t="s">
        <v>457</v>
      </c>
      <c r="D848" t="s">
        <v>50</v>
      </c>
      <c r="E848">
        <v>2017</v>
      </c>
      <c r="F848" t="s">
        <v>52</v>
      </c>
      <c r="G848" t="s">
        <v>36</v>
      </c>
      <c r="H848" t="s">
        <v>28</v>
      </c>
      <c r="I848" t="s">
        <v>18</v>
      </c>
      <c r="J848">
        <v>9.619424E-2</v>
      </c>
      <c r="K848">
        <v>12.6</v>
      </c>
      <c r="L848">
        <v>210.8612</v>
      </c>
      <c r="M848">
        <v>4.5</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v>851</v>
      </c>
      <c r="C852" t="s">
        <v>712</v>
      </c>
      <c r="D852" t="s">
        <v>97</v>
      </c>
      <c r="E852">
        <v>2017</v>
      </c>
      <c r="F852" t="s">
        <v>52</v>
      </c>
      <c r="G852" t="s">
        <v>36</v>
      </c>
      <c r="H852" t="s">
        <v>28</v>
      </c>
      <c r="I852" t="s">
        <v>18</v>
      </c>
      <c r="J852">
        <v>0</v>
      </c>
      <c r="K852">
        <v>11.85</v>
      </c>
      <c r="L852">
        <v>51.266599999999997</v>
      </c>
      <c r="M852">
        <v>4.5</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v>856</v>
      </c>
      <c r="C857" t="s">
        <v>261</v>
      </c>
      <c r="D857" t="s">
        <v>50</v>
      </c>
      <c r="E857">
        <v>2017</v>
      </c>
      <c r="F857" t="s">
        <v>52</v>
      </c>
      <c r="G857" t="s">
        <v>36</v>
      </c>
      <c r="H857" t="s">
        <v>28</v>
      </c>
      <c r="I857" t="s">
        <v>18</v>
      </c>
      <c r="J857">
        <v>2.9006239E-2</v>
      </c>
      <c r="K857">
        <v>6.61</v>
      </c>
      <c r="L857">
        <v>186.0898</v>
      </c>
      <c r="M857">
        <v>4.5</v>
      </c>
    </row>
    <row r="858" spans="1:13" x14ac:dyDescent="0.3">
      <c r="A858" t="s">
        <v>12</v>
      </c>
      <c r="B858">
        <v>857</v>
      </c>
      <c r="C858" t="s">
        <v>715</v>
      </c>
      <c r="D858" t="s">
        <v>50</v>
      </c>
      <c r="E858">
        <v>2017</v>
      </c>
      <c r="F858" t="s">
        <v>52</v>
      </c>
      <c r="G858" t="s">
        <v>36</v>
      </c>
      <c r="H858" t="s">
        <v>28</v>
      </c>
      <c r="I858" t="s">
        <v>18</v>
      </c>
      <c r="J858">
        <v>0.14460413</v>
      </c>
      <c r="K858">
        <v>7.21</v>
      </c>
      <c r="L858">
        <v>102.6332</v>
      </c>
      <c r="M858">
        <v>4.5</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v>882</v>
      </c>
      <c r="C883" t="s">
        <v>480</v>
      </c>
      <c r="D883" t="s">
        <v>97</v>
      </c>
      <c r="E883">
        <v>2014</v>
      </c>
      <c r="F883" t="s">
        <v>31</v>
      </c>
      <c r="G883" t="s">
        <v>23</v>
      </c>
      <c r="H883" t="s">
        <v>32</v>
      </c>
      <c r="I883" t="s">
        <v>18</v>
      </c>
      <c r="J883">
        <v>0</v>
      </c>
      <c r="K883">
        <v>13.5</v>
      </c>
      <c r="L883">
        <v>88.054000000000002</v>
      </c>
      <c r="M883">
        <v>4.5</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4.5</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4.5</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4.5</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4.5</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4.5</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4.5</v>
      </c>
    </row>
    <row r="890" spans="1:13" x14ac:dyDescent="0.3">
      <c r="A890" t="s">
        <v>19</v>
      </c>
      <c r="B890">
        <v>889</v>
      </c>
      <c r="C890" t="s">
        <v>77</v>
      </c>
      <c r="D890" t="s">
        <v>44</v>
      </c>
      <c r="E890">
        <v>2014</v>
      </c>
      <c r="F890" t="s">
        <v>31</v>
      </c>
      <c r="G890" t="s">
        <v>23</v>
      </c>
      <c r="H890" t="s">
        <v>32</v>
      </c>
      <c r="I890" t="s">
        <v>18</v>
      </c>
      <c r="J890">
        <v>0</v>
      </c>
      <c r="K890">
        <v>5.82</v>
      </c>
      <c r="L890">
        <v>169.37899999999999</v>
      </c>
      <c r="M890">
        <v>4.5</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4.5</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4.5</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4.5</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4.5</v>
      </c>
    </row>
    <row r="895" spans="1:13" x14ac:dyDescent="0.3">
      <c r="A895" t="s">
        <v>12</v>
      </c>
      <c r="B895">
        <v>894</v>
      </c>
      <c r="C895" t="s">
        <v>733</v>
      </c>
      <c r="D895" t="s">
        <v>30</v>
      </c>
      <c r="E895">
        <v>2014</v>
      </c>
      <c r="F895" t="s">
        <v>31</v>
      </c>
      <c r="G895" t="s">
        <v>23</v>
      </c>
      <c r="H895" t="s">
        <v>32</v>
      </c>
      <c r="I895" t="s">
        <v>18</v>
      </c>
      <c r="J895">
        <v>2.076385E-2</v>
      </c>
      <c r="K895">
        <v>7.27</v>
      </c>
      <c r="L895">
        <v>89.0488</v>
      </c>
      <c r="M895">
        <v>4.5</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4.5</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4.5</v>
      </c>
    </row>
    <row r="898" spans="1:13" x14ac:dyDescent="0.3">
      <c r="A898" t="s">
        <v>12</v>
      </c>
      <c r="B898">
        <v>897</v>
      </c>
      <c r="C898" t="s">
        <v>736</v>
      </c>
      <c r="D898" t="s">
        <v>14</v>
      </c>
      <c r="E898">
        <v>2014</v>
      </c>
      <c r="F898" t="s">
        <v>31</v>
      </c>
      <c r="G898" t="s">
        <v>23</v>
      </c>
      <c r="H898" t="s">
        <v>32</v>
      </c>
      <c r="I898" t="s">
        <v>18</v>
      </c>
      <c r="J898">
        <v>0.106238768</v>
      </c>
      <c r="K898">
        <v>12.3</v>
      </c>
      <c r="L898">
        <v>176.1396</v>
      </c>
      <c r="M898">
        <v>4.5</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4.5</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4.5</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v>901</v>
      </c>
      <c r="C902" t="s">
        <v>738</v>
      </c>
      <c r="D902" t="s">
        <v>161</v>
      </c>
      <c r="E902">
        <v>2022</v>
      </c>
      <c r="F902" t="s">
        <v>22</v>
      </c>
      <c r="G902" t="s">
        <v>23</v>
      </c>
      <c r="H902" t="s">
        <v>17</v>
      </c>
      <c r="I902" t="s">
        <v>24</v>
      </c>
      <c r="J902">
        <v>0</v>
      </c>
      <c r="K902">
        <v>12.85</v>
      </c>
      <c r="L902">
        <v>253.00399999999999</v>
      </c>
      <c r="M902">
        <v>4.5</v>
      </c>
    </row>
    <row r="903" spans="1:13" x14ac:dyDescent="0.3">
      <c r="A903" t="s">
        <v>19</v>
      </c>
      <c r="B903">
        <v>902</v>
      </c>
      <c r="C903" t="s">
        <v>739</v>
      </c>
      <c r="D903" t="s">
        <v>97</v>
      </c>
      <c r="E903">
        <v>2022</v>
      </c>
      <c r="F903" t="s">
        <v>22</v>
      </c>
      <c r="G903" t="s">
        <v>23</v>
      </c>
      <c r="H903" t="s">
        <v>17</v>
      </c>
      <c r="I903" t="s">
        <v>24</v>
      </c>
      <c r="J903">
        <v>0</v>
      </c>
      <c r="K903">
        <v>15.6</v>
      </c>
      <c r="L903">
        <v>111.8544</v>
      </c>
      <c r="M903">
        <v>4.5</v>
      </c>
    </row>
    <row r="904" spans="1:13" x14ac:dyDescent="0.3">
      <c r="A904" t="s">
        <v>19</v>
      </c>
      <c r="B904">
        <v>903</v>
      </c>
      <c r="C904" t="s">
        <v>293</v>
      </c>
      <c r="D904" t="s">
        <v>30</v>
      </c>
      <c r="E904">
        <v>2022</v>
      </c>
      <c r="F904" t="s">
        <v>22</v>
      </c>
      <c r="G904" t="s">
        <v>23</v>
      </c>
      <c r="H904" t="s">
        <v>17</v>
      </c>
      <c r="I904" t="s">
        <v>24</v>
      </c>
      <c r="J904">
        <v>0.170500183</v>
      </c>
      <c r="K904">
        <v>20.7</v>
      </c>
      <c r="L904">
        <v>184.1266</v>
      </c>
      <c r="M904">
        <v>4.5</v>
      </c>
    </row>
    <row r="905" spans="1:13" x14ac:dyDescent="0.3">
      <c r="A905" t="s">
        <v>19</v>
      </c>
      <c r="B905">
        <v>904</v>
      </c>
      <c r="C905" t="s">
        <v>740</v>
      </c>
      <c r="D905" t="s">
        <v>26</v>
      </c>
      <c r="E905">
        <v>2022</v>
      </c>
      <c r="F905" t="s">
        <v>22</v>
      </c>
      <c r="G905" t="s">
        <v>23</v>
      </c>
      <c r="H905" t="s">
        <v>17</v>
      </c>
      <c r="I905" t="s">
        <v>24</v>
      </c>
      <c r="J905">
        <v>0.119871307</v>
      </c>
      <c r="K905">
        <v>17</v>
      </c>
      <c r="L905">
        <v>248.3434</v>
      </c>
      <c r="M905">
        <v>4.5</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602</v>
      </c>
      <c r="D915" t="s">
        <v>50</v>
      </c>
      <c r="E915">
        <v>2022</v>
      </c>
      <c r="F915" t="s">
        <v>22</v>
      </c>
      <c r="G915" t="s">
        <v>23</v>
      </c>
      <c r="H915" t="s">
        <v>17</v>
      </c>
      <c r="I915" t="s">
        <v>24</v>
      </c>
      <c r="J915">
        <v>0</v>
      </c>
      <c r="K915">
        <v>15.25</v>
      </c>
      <c r="L915">
        <v>179.76599999999999</v>
      </c>
      <c r="M915">
        <v>4.5</v>
      </c>
    </row>
    <row r="916" spans="1:13" x14ac:dyDescent="0.3">
      <c r="A916" t="s">
        <v>19</v>
      </c>
      <c r="B916">
        <v>915</v>
      </c>
      <c r="C916" t="s">
        <v>747</v>
      </c>
      <c r="D916" t="s">
        <v>59</v>
      </c>
      <c r="E916">
        <v>2018</v>
      </c>
      <c r="F916" t="s">
        <v>47</v>
      </c>
      <c r="G916" t="s">
        <v>23</v>
      </c>
      <c r="H916" t="s">
        <v>17</v>
      </c>
      <c r="I916" t="s">
        <v>48</v>
      </c>
      <c r="J916">
        <v>6.8765925000000006E-2</v>
      </c>
      <c r="L916">
        <v>216.91659999999999</v>
      </c>
      <c r="M916">
        <v>4.5</v>
      </c>
    </row>
    <row r="917" spans="1:13" x14ac:dyDescent="0.3">
      <c r="A917" t="s">
        <v>19</v>
      </c>
      <c r="B917">
        <v>916</v>
      </c>
      <c r="C917" t="s">
        <v>748</v>
      </c>
      <c r="D917" t="s">
        <v>59</v>
      </c>
      <c r="E917">
        <v>2018</v>
      </c>
      <c r="F917" t="s">
        <v>47</v>
      </c>
      <c r="G917" t="s">
        <v>23</v>
      </c>
      <c r="H917" t="s">
        <v>17</v>
      </c>
      <c r="I917" t="s">
        <v>48</v>
      </c>
      <c r="J917">
        <v>8.1391459999999999E-2</v>
      </c>
      <c r="L917">
        <v>177.83699999999999</v>
      </c>
      <c r="M917">
        <v>4.5</v>
      </c>
    </row>
    <row r="918" spans="1:13" x14ac:dyDescent="0.3">
      <c r="A918" t="s">
        <v>19</v>
      </c>
      <c r="B918">
        <v>917</v>
      </c>
      <c r="C918" t="s">
        <v>749</v>
      </c>
      <c r="D918" t="s">
        <v>69</v>
      </c>
      <c r="E918">
        <v>2018</v>
      </c>
      <c r="F918" t="s">
        <v>47</v>
      </c>
      <c r="G918" t="s">
        <v>23</v>
      </c>
      <c r="H918" t="s">
        <v>17</v>
      </c>
      <c r="I918" t="s">
        <v>48</v>
      </c>
      <c r="J918">
        <v>5.5121891999999999E-2</v>
      </c>
      <c r="L918">
        <v>196.77680000000001</v>
      </c>
      <c r="M918">
        <v>4.5</v>
      </c>
    </row>
    <row r="919" spans="1:13" x14ac:dyDescent="0.3">
      <c r="A919" t="s">
        <v>19</v>
      </c>
      <c r="B919">
        <v>918</v>
      </c>
      <c r="C919" t="s">
        <v>229</v>
      </c>
      <c r="D919" t="s">
        <v>69</v>
      </c>
      <c r="E919">
        <v>2018</v>
      </c>
      <c r="F919" t="s">
        <v>47</v>
      </c>
      <c r="G919" t="s">
        <v>23</v>
      </c>
      <c r="H919" t="s">
        <v>17</v>
      </c>
      <c r="I919" t="s">
        <v>48</v>
      </c>
      <c r="J919">
        <v>5.2097910000000001E-3</v>
      </c>
      <c r="L919">
        <v>265.28840000000002</v>
      </c>
      <c r="M919">
        <v>4.5</v>
      </c>
    </row>
    <row r="920" spans="1:13" x14ac:dyDescent="0.3">
      <c r="A920" t="s">
        <v>19</v>
      </c>
      <c r="B920">
        <v>919</v>
      </c>
      <c r="C920" t="s">
        <v>750</v>
      </c>
      <c r="D920" t="s">
        <v>26</v>
      </c>
      <c r="E920">
        <v>2018</v>
      </c>
      <c r="F920" t="s">
        <v>47</v>
      </c>
      <c r="G920" t="s">
        <v>23</v>
      </c>
      <c r="H920" t="s">
        <v>17</v>
      </c>
      <c r="I920" t="s">
        <v>48</v>
      </c>
      <c r="J920">
        <v>6.5272284E-2</v>
      </c>
      <c r="L920">
        <v>256.16460000000001</v>
      </c>
      <c r="M920">
        <v>4.5</v>
      </c>
    </row>
    <row r="921" spans="1:13" x14ac:dyDescent="0.3">
      <c r="A921" t="s">
        <v>19</v>
      </c>
      <c r="B921">
        <v>920</v>
      </c>
      <c r="C921" t="s">
        <v>751</v>
      </c>
      <c r="D921" t="s">
        <v>26</v>
      </c>
      <c r="E921">
        <v>2018</v>
      </c>
      <c r="F921" t="s">
        <v>47</v>
      </c>
      <c r="G921" t="s">
        <v>23</v>
      </c>
      <c r="H921" t="s">
        <v>17</v>
      </c>
      <c r="I921" t="s">
        <v>48</v>
      </c>
      <c r="J921">
        <v>0</v>
      </c>
      <c r="L921">
        <v>225.30619999999999</v>
      </c>
      <c r="M921">
        <v>4.5</v>
      </c>
    </row>
    <row r="922" spans="1:13" x14ac:dyDescent="0.3">
      <c r="A922" t="s">
        <v>19</v>
      </c>
      <c r="B922">
        <v>921</v>
      </c>
      <c r="C922" t="s">
        <v>752</v>
      </c>
      <c r="D922" t="s">
        <v>26</v>
      </c>
      <c r="E922">
        <v>2018</v>
      </c>
      <c r="F922" t="s">
        <v>47</v>
      </c>
      <c r="G922" t="s">
        <v>23</v>
      </c>
      <c r="H922" t="s">
        <v>17</v>
      </c>
      <c r="I922" t="s">
        <v>48</v>
      </c>
      <c r="J922">
        <v>6.3462047999999993E-2</v>
      </c>
      <c r="L922">
        <v>157.56299999999999</v>
      </c>
      <c r="M922">
        <v>4.5</v>
      </c>
    </row>
    <row r="923" spans="1:13" x14ac:dyDescent="0.3">
      <c r="A923" t="s">
        <v>19</v>
      </c>
      <c r="B923">
        <v>922</v>
      </c>
      <c r="C923" t="s">
        <v>576</v>
      </c>
      <c r="D923" t="s">
        <v>21</v>
      </c>
      <c r="E923">
        <v>2018</v>
      </c>
      <c r="F923" t="s">
        <v>47</v>
      </c>
      <c r="G923" t="s">
        <v>23</v>
      </c>
      <c r="H923" t="s">
        <v>17</v>
      </c>
      <c r="I923" t="s">
        <v>48</v>
      </c>
      <c r="J923">
        <v>7.7079176999999999E-2</v>
      </c>
      <c r="L923">
        <v>61.553600000000003</v>
      </c>
      <c r="M923">
        <v>4.5</v>
      </c>
    </row>
    <row r="924" spans="1:13" x14ac:dyDescent="0.3">
      <c r="A924" t="s">
        <v>19</v>
      </c>
      <c r="B924">
        <v>923</v>
      </c>
      <c r="C924" t="s">
        <v>753</v>
      </c>
      <c r="D924" t="s">
        <v>44</v>
      </c>
      <c r="E924">
        <v>2018</v>
      </c>
      <c r="F924" t="s">
        <v>47</v>
      </c>
      <c r="G924" t="s">
        <v>23</v>
      </c>
      <c r="H924" t="s">
        <v>17</v>
      </c>
      <c r="I924" t="s">
        <v>48</v>
      </c>
      <c r="J924">
        <v>0.14258975099999999</v>
      </c>
      <c r="L924">
        <v>35.918999999999997</v>
      </c>
      <c r="M924">
        <v>4.5</v>
      </c>
    </row>
    <row r="925" spans="1:13" x14ac:dyDescent="0.3">
      <c r="A925" t="s">
        <v>19</v>
      </c>
      <c r="B925">
        <v>924</v>
      </c>
      <c r="C925" t="s">
        <v>380</v>
      </c>
      <c r="D925" t="s">
        <v>44</v>
      </c>
      <c r="E925">
        <v>2018</v>
      </c>
      <c r="F925" t="s">
        <v>47</v>
      </c>
      <c r="G925" t="s">
        <v>23</v>
      </c>
      <c r="H925" t="s">
        <v>17</v>
      </c>
      <c r="I925" t="s">
        <v>48</v>
      </c>
      <c r="J925">
        <v>9.1042210999999998E-2</v>
      </c>
      <c r="L925">
        <v>162.68940000000001</v>
      </c>
      <c r="M925">
        <v>4.5</v>
      </c>
    </row>
    <row r="926" spans="1:13" x14ac:dyDescent="0.3">
      <c r="A926" t="s">
        <v>19</v>
      </c>
      <c r="B926">
        <v>925</v>
      </c>
      <c r="C926" t="s">
        <v>150</v>
      </c>
      <c r="D926" t="s">
        <v>44</v>
      </c>
      <c r="E926">
        <v>2018</v>
      </c>
      <c r="F926" t="s">
        <v>47</v>
      </c>
      <c r="G926" t="s">
        <v>23</v>
      </c>
      <c r="H926" t="s">
        <v>17</v>
      </c>
      <c r="I926" t="s">
        <v>48</v>
      </c>
      <c r="J926">
        <v>5.2247806000000001E-2</v>
      </c>
      <c r="L926">
        <v>190.85300000000001</v>
      </c>
      <c r="M926">
        <v>4.5</v>
      </c>
    </row>
    <row r="927" spans="1:13" x14ac:dyDescent="0.3">
      <c r="A927" t="s">
        <v>19</v>
      </c>
      <c r="B927">
        <v>926</v>
      </c>
      <c r="C927" t="s">
        <v>754</v>
      </c>
      <c r="D927" t="s">
        <v>44</v>
      </c>
      <c r="E927">
        <v>2018</v>
      </c>
      <c r="F927" t="s">
        <v>47</v>
      </c>
      <c r="G927" t="s">
        <v>23</v>
      </c>
      <c r="H927" t="s">
        <v>17</v>
      </c>
      <c r="I927" t="s">
        <v>48</v>
      </c>
      <c r="J927">
        <v>7.2317217000000003E-2</v>
      </c>
      <c r="L927">
        <v>160.792</v>
      </c>
      <c r="M927">
        <v>4.5</v>
      </c>
    </row>
    <row r="928" spans="1:13" x14ac:dyDescent="0.3">
      <c r="A928" t="s">
        <v>19</v>
      </c>
      <c r="B928">
        <v>927</v>
      </c>
      <c r="C928" t="s">
        <v>243</v>
      </c>
      <c r="D928" t="s">
        <v>44</v>
      </c>
      <c r="E928">
        <v>2018</v>
      </c>
      <c r="F928" t="s">
        <v>47</v>
      </c>
      <c r="G928" t="s">
        <v>23</v>
      </c>
      <c r="H928" t="s">
        <v>17</v>
      </c>
      <c r="I928" t="s">
        <v>48</v>
      </c>
      <c r="J928">
        <v>5.911748E-2</v>
      </c>
      <c r="L928">
        <v>181.5976</v>
      </c>
      <c r="M928">
        <v>4.5</v>
      </c>
    </row>
    <row r="929" spans="1:13" x14ac:dyDescent="0.3">
      <c r="A929" t="s">
        <v>19</v>
      </c>
      <c r="B929">
        <v>928</v>
      </c>
      <c r="C929" t="s">
        <v>755</v>
      </c>
      <c r="D929" t="s">
        <v>44</v>
      </c>
      <c r="E929">
        <v>2018</v>
      </c>
      <c r="F929" t="s">
        <v>47</v>
      </c>
      <c r="G929" t="s">
        <v>23</v>
      </c>
      <c r="H929" t="s">
        <v>17</v>
      </c>
      <c r="I929" t="s">
        <v>48</v>
      </c>
      <c r="J929">
        <v>9.370568E-2</v>
      </c>
      <c r="L929">
        <v>253.8698</v>
      </c>
      <c r="M929">
        <v>4.5</v>
      </c>
    </row>
    <row r="930" spans="1:13" x14ac:dyDescent="0.3">
      <c r="A930" t="s">
        <v>19</v>
      </c>
      <c r="B930">
        <v>929</v>
      </c>
      <c r="C930" t="s">
        <v>756</v>
      </c>
      <c r="D930" t="s">
        <v>66</v>
      </c>
      <c r="E930">
        <v>2018</v>
      </c>
      <c r="F930" t="s">
        <v>47</v>
      </c>
      <c r="G930" t="s">
        <v>23</v>
      </c>
      <c r="H930" t="s">
        <v>17</v>
      </c>
      <c r="I930" t="s">
        <v>48</v>
      </c>
      <c r="J930">
        <v>3.1186800000000001E-2</v>
      </c>
      <c r="L930">
        <v>39.548000000000002</v>
      </c>
      <c r="M930">
        <v>4.5</v>
      </c>
    </row>
    <row r="931" spans="1:13" x14ac:dyDescent="0.3">
      <c r="A931" t="s">
        <v>12</v>
      </c>
      <c r="B931">
        <v>930</v>
      </c>
      <c r="C931" t="s">
        <v>757</v>
      </c>
      <c r="D931" t="s">
        <v>97</v>
      </c>
      <c r="E931">
        <v>2018</v>
      </c>
      <c r="F931" t="s">
        <v>47</v>
      </c>
      <c r="G931" t="s">
        <v>23</v>
      </c>
      <c r="H931" t="s">
        <v>17</v>
      </c>
      <c r="I931" t="s">
        <v>48</v>
      </c>
      <c r="J931">
        <v>2.524761E-2</v>
      </c>
      <c r="L931">
        <v>81.993399999999994</v>
      </c>
      <c r="M931">
        <v>4.5</v>
      </c>
    </row>
    <row r="932" spans="1:13" x14ac:dyDescent="0.3">
      <c r="A932" t="s">
        <v>12</v>
      </c>
      <c r="B932">
        <v>931</v>
      </c>
      <c r="C932" t="s">
        <v>727</v>
      </c>
      <c r="D932" t="s">
        <v>30</v>
      </c>
      <c r="E932">
        <v>2018</v>
      </c>
      <c r="F932" t="s">
        <v>47</v>
      </c>
      <c r="G932" t="s">
        <v>23</v>
      </c>
      <c r="H932" t="s">
        <v>17</v>
      </c>
      <c r="I932" t="s">
        <v>48</v>
      </c>
      <c r="J932">
        <v>4.6408928000000002E-2</v>
      </c>
      <c r="L932">
        <v>153.2998</v>
      </c>
      <c r="M932">
        <v>4.5</v>
      </c>
    </row>
    <row r="933" spans="1:13" x14ac:dyDescent="0.3">
      <c r="A933" t="s">
        <v>12</v>
      </c>
      <c r="B933">
        <v>932</v>
      </c>
      <c r="C933" t="s">
        <v>758</v>
      </c>
      <c r="D933" t="s">
        <v>26</v>
      </c>
      <c r="E933">
        <v>2018</v>
      </c>
      <c r="F933" t="s">
        <v>47</v>
      </c>
      <c r="G933" t="s">
        <v>23</v>
      </c>
      <c r="H933" t="s">
        <v>17</v>
      </c>
      <c r="I933" t="s">
        <v>48</v>
      </c>
      <c r="J933">
        <v>7.9954799999999993E-3</v>
      </c>
      <c r="L933">
        <v>78.561800000000005</v>
      </c>
      <c r="M933">
        <v>4.5</v>
      </c>
    </row>
    <row r="934" spans="1:13" x14ac:dyDescent="0.3">
      <c r="A934" t="s">
        <v>12</v>
      </c>
      <c r="B934">
        <v>933</v>
      </c>
      <c r="C934" t="s">
        <v>759</v>
      </c>
      <c r="D934" t="s">
        <v>26</v>
      </c>
      <c r="E934">
        <v>2018</v>
      </c>
      <c r="F934" t="s">
        <v>47</v>
      </c>
      <c r="G934" t="s">
        <v>23</v>
      </c>
      <c r="H934" t="s">
        <v>17</v>
      </c>
      <c r="I934" t="s">
        <v>48</v>
      </c>
      <c r="J934">
        <v>4.1273391E-2</v>
      </c>
      <c r="L934">
        <v>91.680400000000006</v>
      </c>
      <c r="M934">
        <v>4.5</v>
      </c>
    </row>
    <row r="935" spans="1:13" x14ac:dyDescent="0.3">
      <c r="A935" t="s">
        <v>12</v>
      </c>
      <c r="B935">
        <v>934</v>
      </c>
      <c r="C935" t="s">
        <v>760</v>
      </c>
      <c r="D935" t="s">
        <v>26</v>
      </c>
      <c r="E935">
        <v>2018</v>
      </c>
      <c r="F935" t="s">
        <v>47</v>
      </c>
      <c r="G935" t="s">
        <v>23</v>
      </c>
      <c r="H935" t="s">
        <v>17</v>
      </c>
      <c r="I935" t="s">
        <v>48</v>
      </c>
      <c r="J935">
        <v>4.2270751000000002E-2</v>
      </c>
      <c r="L935">
        <v>162.52099999999999</v>
      </c>
      <c r="M935">
        <v>4.5</v>
      </c>
    </row>
    <row r="936" spans="1:13" x14ac:dyDescent="0.3">
      <c r="A936" t="s">
        <v>12</v>
      </c>
      <c r="B936">
        <v>935</v>
      </c>
      <c r="C936" t="s">
        <v>761</v>
      </c>
      <c r="D936" t="s">
        <v>14</v>
      </c>
      <c r="E936">
        <v>2018</v>
      </c>
      <c r="F936" t="s">
        <v>47</v>
      </c>
      <c r="G936" t="s">
        <v>23</v>
      </c>
      <c r="H936" t="s">
        <v>17</v>
      </c>
      <c r="I936" t="s">
        <v>48</v>
      </c>
      <c r="J936">
        <v>2.8842331999999998E-2</v>
      </c>
      <c r="L936">
        <v>81.495999999999995</v>
      </c>
      <c r="M936">
        <v>4.5</v>
      </c>
    </row>
    <row r="937" spans="1:13" x14ac:dyDescent="0.3">
      <c r="A937" t="s">
        <v>12</v>
      </c>
      <c r="B937">
        <v>936</v>
      </c>
      <c r="C937" t="s">
        <v>762</v>
      </c>
      <c r="D937" t="s">
        <v>50</v>
      </c>
      <c r="E937">
        <v>2018</v>
      </c>
      <c r="F937" t="s">
        <v>47</v>
      </c>
      <c r="G937" t="s">
        <v>23</v>
      </c>
      <c r="H937" t="s">
        <v>17</v>
      </c>
      <c r="I937" t="s">
        <v>48</v>
      </c>
      <c r="J937">
        <v>1.3951504E-2</v>
      </c>
      <c r="L937">
        <v>199.9084</v>
      </c>
      <c r="M937">
        <v>4.5</v>
      </c>
    </row>
    <row r="938" spans="1:13" x14ac:dyDescent="0.3">
      <c r="A938" t="s">
        <v>12</v>
      </c>
      <c r="B938">
        <v>937</v>
      </c>
      <c r="C938" t="s">
        <v>763</v>
      </c>
      <c r="D938" t="s">
        <v>34</v>
      </c>
      <c r="E938">
        <v>2018</v>
      </c>
      <c r="F938" t="s">
        <v>47</v>
      </c>
      <c r="G938" t="s">
        <v>23</v>
      </c>
      <c r="H938" t="s">
        <v>17</v>
      </c>
      <c r="I938" t="s">
        <v>48</v>
      </c>
      <c r="J938">
        <v>4.4767031999999998E-2</v>
      </c>
      <c r="L938">
        <v>173.7054</v>
      </c>
      <c r="M938">
        <v>4.5</v>
      </c>
    </row>
    <row r="939" spans="1:13" x14ac:dyDescent="0.3">
      <c r="A939" t="s">
        <v>37</v>
      </c>
      <c r="B939">
        <v>938</v>
      </c>
      <c r="C939" t="s">
        <v>479</v>
      </c>
      <c r="D939" t="s">
        <v>97</v>
      </c>
      <c r="E939">
        <v>2018</v>
      </c>
      <c r="F939" t="s">
        <v>47</v>
      </c>
      <c r="G939" t="s">
        <v>23</v>
      </c>
      <c r="H939" t="s">
        <v>17</v>
      </c>
      <c r="I939" t="s">
        <v>48</v>
      </c>
      <c r="J939">
        <v>3.7315468999999997E-2</v>
      </c>
      <c r="L939">
        <v>50.003399999999999</v>
      </c>
      <c r="M939">
        <v>4.5</v>
      </c>
    </row>
    <row r="940" spans="1:13" x14ac:dyDescent="0.3">
      <c r="A940" t="s">
        <v>37</v>
      </c>
      <c r="B940">
        <v>939</v>
      </c>
      <c r="C940" t="s">
        <v>764</v>
      </c>
      <c r="D940" t="s">
        <v>59</v>
      </c>
      <c r="E940">
        <v>2018</v>
      </c>
      <c r="F940" t="s">
        <v>47</v>
      </c>
      <c r="G940" t="s">
        <v>23</v>
      </c>
      <c r="H940" t="s">
        <v>17</v>
      </c>
      <c r="I940" t="s">
        <v>48</v>
      </c>
      <c r="J940">
        <v>2.4407061000000001E-2</v>
      </c>
      <c r="L940">
        <v>102.33320000000001</v>
      </c>
      <c r="M940">
        <v>4.5</v>
      </c>
    </row>
    <row r="941" spans="1:13" x14ac:dyDescent="0.3">
      <c r="A941" t="s">
        <v>37</v>
      </c>
      <c r="B941">
        <v>940</v>
      </c>
      <c r="C941" t="s">
        <v>765</v>
      </c>
      <c r="D941" t="s">
        <v>21</v>
      </c>
      <c r="E941">
        <v>2018</v>
      </c>
      <c r="F941" t="s">
        <v>47</v>
      </c>
      <c r="G941" t="s">
        <v>23</v>
      </c>
      <c r="H941" t="s">
        <v>17</v>
      </c>
      <c r="I941" t="s">
        <v>48</v>
      </c>
      <c r="J941">
        <v>2.0876485E-2</v>
      </c>
      <c r="L941">
        <v>133.79419999999999</v>
      </c>
      <c r="M941">
        <v>4.5</v>
      </c>
    </row>
    <row r="942" spans="1:13" x14ac:dyDescent="0.3">
      <c r="A942" t="s">
        <v>12</v>
      </c>
      <c r="B942">
        <v>941</v>
      </c>
      <c r="C942" t="s">
        <v>501</v>
      </c>
      <c r="D942" t="s">
        <v>69</v>
      </c>
      <c r="E942">
        <v>2018</v>
      </c>
      <c r="F942" t="s">
        <v>47</v>
      </c>
      <c r="G942" t="s">
        <v>23</v>
      </c>
      <c r="H942" t="s">
        <v>17</v>
      </c>
      <c r="I942" t="s">
        <v>48</v>
      </c>
      <c r="J942">
        <v>6.7624437999999995E-2</v>
      </c>
      <c r="L942">
        <v>120.944</v>
      </c>
      <c r="M942">
        <v>4.5</v>
      </c>
    </row>
    <row r="943" spans="1:13" x14ac:dyDescent="0.3">
      <c r="A943" t="s">
        <v>19</v>
      </c>
      <c r="B943">
        <v>942</v>
      </c>
      <c r="C943" t="s">
        <v>694</v>
      </c>
      <c r="D943" t="s">
        <v>44</v>
      </c>
      <c r="E943">
        <v>2014</v>
      </c>
      <c r="F943" t="s">
        <v>31</v>
      </c>
      <c r="G943" t="s">
        <v>23</v>
      </c>
      <c r="H943" t="s">
        <v>32</v>
      </c>
      <c r="I943" t="s">
        <v>18</v>
      </c>
      <c r="J943">
        <v>0</v>
      </c>
      <c r="K943">
        <v>8.93</v>
      </c>
      <c r="L943">
        <v>53.861400000000003</v>
      </c>
      <c r="M943">
        <v>4.4000000000000004</v>
      </c>
    </row>
    <row r="944" spans="1:13" x14ac:dyDescent="0.3">
      <c r="A944" t="s">
        <v>19</v>
      </c>
      <c r="B944">
        <v>943</v>
      </c>
      <c r="C944" t="s">
        <v>766</v>
      </c>
      <c r="D944" t="s">
        <v>50</v>
      </c>
      <c r="E944">
        <v>2018</v>
      </c>
      <c r="F944" t="s">
        <v>47</v>
      </c>
      <c r="G944" t="s">
        <v>23</v>
      </c>
      <c r="H944" t="s">
        <v>17</v>
      </c>
      <c r="I944" t="s">
        <v>48</v>
      </c>
      <c r="J944">
        <v>2.6480954000000001E-2</v>
      </c>
      <c r="L944">
        <v>87.619799999999998</v>
      </c>
      <c r="M944">
        <v>4.4000000000000004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4.4000000000000004</v>
      </c>
    </row>
    <row r="950" spans="1:13" x14ac:dyDescent="0.3">
      <c r="A950" t="s">
        <v>12</v>
      </c>
      <c r="B950">
        <v>949</v>
      </c>
      <c r="C950" t="s">
        <v>770</v>
      </c>
      <c r="D950" t="s">
        <v>14</v>
      </c>
      <c r="E950">
        <v>2018</v>
      </c>
      <c r="F950" t="s">
        <v>140</v>
      </c>
      <c r="G950" t="s">
        <v>16</v>
      </c>
      <c r="H950" t="s">
        <v>28</v>
      </c>
      <c r="I950" t="s">
        <v>42</v>
      </c>
      <c r="J950">
        <v>9.4153749999999994E-2</v>
      </c>
      <c r="L950">
        <v>165.7526</v>
      </c>
      <c r="M950">
        <v>4.4000000000000004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771</v>
      </c>
      <c r="D952" t="s">
        <v>97</v>
      </c>
      <c r="E952">
        <v>2018</v>
      </c>
      <c r="F952" t="s">
        <v>47</v>
      </c>
      <c r="G952" t="s">
        <v>23</v>
      </c>
      <c r="H952" t="s">
        <v>17</v>
      </c>
      <c r="I952" t="s">
        <v>48</v>
      </c>
      <c r="J952">
        <v>7.8362483999999996E-2</v>
      </c>
      <c r="L952">
        <v>177.93700000000001</v>
      </c>
      <c r="M952">
        <v>4.4000000000000004</v>
      </c>
    </row>
    <row r="953" spans="1:13" x14ac:dyDescent="0.3">
      <c r="A953" t="s">
        <v>12</v>
      </c>
      <c r="B953">
        <v>952</v>
      </c>
      <c r="C953" t="s">
        <v>772</v>
      </c>
      <c r="D953" t="s">
        <v>50</v>
      </c>
      <c r="E953">
        <v>2018</v>
      </c>
      <c r="F953" t="s">
        <v>140</v>
      </c>
      <c r="G953" t="s">
        <v>16</v>
      </c>
      <c r="H953" t="s">
        <v>28</v>
      </c>
      <c r="I953" t="s">
        <v>42</v>
      </c>
      <c r="J953">
        <v>8.2741482000000005E-2</v>
      </c>
      <c r="L953">
        <v>118.7782</v>
      </c>
      <c r="M953">
        <v>4.4000000000000004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4.4000000000000004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4.4000000000000004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4.4000000000000004</v>
      </c>
    </row>
    <row r="959" spans="1:13" x14ac:dyDescent="0.3">
      <c r="A959" t="s">
        <v>12</v>
      </c>
      <c r="B959">
        <v>958</v>
      </c>
      <c r="C959" t="s">
        <v>777</v>
      </c>
      <c r="D959" t="s">
        <v>30</v>
      </c>
      <c r="E959">
        <v>2016</v>
      </c>
      <c r="F959" t="s">
        <v>27</v>
      </c>
      <c r="G959" t="s">
        <v>16</v>
      </c>
      <c r="H959" t="s">
        <v>28</v>
      </c>
      <c r="I959" t="s">
        <v>18</v>
      </c>
      <c r="J959">
        <v>1.1995271E-2</v>
      </c>
      <c r="K959">
        <v>20.25</v>
      </c>
      <c r="L959">
        <v>184.5924</v>
      </c>
      <c r="M959">
        <v>4.4000000000000004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4.4000000000000004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781</v>
      </c>
      <c r="D965" t="s">
        <v>21</v>
      </c>
      <c r="E965">
        <v>2018</v>
      </c>
      <c r="F965" t="s">
        <v>140</v>
      </c>
      <c r="G965" t="s">
        <v>16</v>
      </c>
      <c r="H965" t="s">
        <v>28</v>
      </c>
      <c r="I965" t="s">
        <v>42</v>
      </c>
      <c r="J965">
        <v>9.8031771000000004E-2</v>
      </c>
      <c r="L965">
        <v>151.30240000000001</v>
      </c>
      <c r="M965">
        <v>4.4000000000000004</v>
      </c>
    </row>
    <row r="966" spans="1:13" x14ac:dyDescent="0.3">
      <c r="A966" t="s">
        <v>19</v>
      </c>
      <c r="B966">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v>967</v>
      </c>
      <c r="C968" t="s">
        <v>324</v>
      </c>
      <c r="D968" t="s">
        <v>26</v>
      </c>
      <c r="E968">
        <v>2018</v>
      </c>
      <c r="F968" t="s">
        <v>47</v>
      </c>
      <c r="G968" t="s">
        <v>23</v>
      </c>
      <c r="H968" t="s">
        <v>17</v>
      </c>
      <c r="I968" t="s">
        <v>48</v>
      </c>
      <c r="J968">
        <v>2.6749991000000001E-2</v>
      </c>
      <c r="L968">
        <v>106.928</v>
      </c>
      <c r="M968">
        <v>4.4000000000000004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v>969</v>
      </c>
      <c r="C970" t="s">
        <v>785</v>
      </c>
      <c r="D970" t="s">
        <v>14</v>
      </c>
      <c r="E970">
        <v>2018</v>
      </c>
      <c r="F970" t="s">
        <v>47</v>
      </c>
      <c r="G970" t="s">
        <v>23</v>
      </c>
      <c r="H970" t="s">
        <v>17</v>
      </c>
      <c r="I970" t="s">
        <v>48</v>
      </c>
      <c r="J970">
        <v>6.5316099000000002E-2</v>
      </c>
      <c r="L970">
        <v>189.92140000000001</v>
      </c>
      <c r="M970">
        <v>4.4000000000000004</v>
      </c>
    </row>
    <row r="971" spans="1:13" x14ac:dyDescent="0.3">
      <c r="A971" t="s">
        <v>19</v>
      </c>
      <c r="B971">
        <v>970</v>
      </c>
      <c r="C971" t="s">
        <v>179</v>
      </c>
      <c r="D971" t="s">
        <v>50</v>
      </c>
      <c r="E971">
        <v>2018</v>
      </c>
      <c r="F971" t="s">
        <v>47</v>
      </c>
      <c r="G971" t="s">
        <v>23</v>
      </c>
      <c r="H971" t="s">
        <v>17</v>
      </c>
      <c r="I971" t="s">
        <v>48</v>
      </c>
      <c r="J971">
        <v>0.115978122</v>
      </c>
      <c r="L971">
        <v>183.42660000000001</v>
      </c>
      <c r="M971">
        <v>4.4000000000000004</v>
      </c>
    </row>
    <row r="972" spans="1:13" x14ac:dyDescent="0.3">
      <c r="A972" t="s">
        <v>19</v>
      </c>
      <c r="B972">
        <v>971</v>
      </c>
      <c r="C972" t="s">
        <v>786</v>
      </c>
      <c r="D972" t="s">
        <v>50</v>
      </c>
      <c r="E972">
        <v>2018</v>
      </c>
      <c r="F972" t="s">
        <v>47</v>
      </c>
      <c r="G972" t="s">
        <v>23</v>
      </c>
      <c r="H972" t="s">
        <v>17</v>
      </c>
      <c r="I972" t="s">
        <v>48</v>
      </c>
      <c r="J972">
        <v>3.5015200000000003E-2</v>
      </c>
      <c r="L972">
        <v>182.0318</v>
      </c>
      <c r="M972">
        <v>4.4000000000000004</v>
      </c>
    </row>
    <row r="973" spans="1:13" x14ac:dyDescent="0.3">
      <c r="A973" t="s">
        <v>19</v>
      </c>
      <c r="B973">
        <v>972</v>
      </c>
      <c r="C973" t="s">
        <v>372</v>
      </c>
      <c r="D973" t="s">
        <v>69</v>
      </c>
      <c r="E973">
        <v>2018</v>
      </c>
      <c r="F973" t="s">
        <v>47</v>
      </c>
      <c r="G973" t="s">
        <v>23</v>
      </c>
      <c r="H973" t="s">
        <v>17</v>
      </c>
      <c r="I973" t="s">
        <v>48</v>
      </c>
      <c r="J973">
        <v>4.4767801000000003E-2</v>
      </c>
      <c r="L973">
        <v>241.8854</v>
      </c>
      <c r="M973">
        <v>4.4000000000000004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787</v>
      </c>
      <c r="D975" t="s">
        <v>56</v>
      </c>
      <c r="E975">
        <v>2018</v>
      </c>
      <c r="F975" t="s">
        <v>47</v>
      </c>
      <c r="G975" t="s">
        <v>23</v>
      </c>
      <c r="H975" t="s">
        <v>17</v>
      </c>
      <c r="I975" t="s">
        <v>48</v>
      </c>
      <c r="J975">
        <v>0.15034186699999999</v>
      </c>
      <c r="L975">
        <v>83.127600000000001</v>
      </c>
      <c r="M975">
        <v>4.4000000000000004</v>
      </c>
    </row>
    <row r="976" spans="1:13" x14ac:dyDescent="0.3">
      <c r="A976" t="s">
        <v>12</v>
      </c>
      <c r="B976">
        <v>975</v>
      </c>
      <c r="C976" t="s">
        <v>788</v>
      </c>
      <c r="D976" t="s">
        <v>30</v>
      </c>
      <c r="E976">
        <v>2018</v>
      </c>
      <c r="F976" t="s">
        <v>47</v>
      </c>
      <c r="G976" t="s">
        <v>23</v>
      </c>
      <c r="H976" t="s">
        <v>17</v>
      </c>
      <c r="I976" t="s">
        <v>48</v>
      </c>
      <c r="J976">
        <v>0</v>
      </c>
      <c r="L976">
        <v>154.63140000000001</v>
      </c>
      <c r="M976">
        <v>4.4000000000000004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4.4000000000000004</v>
      </c>
    </row>
    <row r="979" spans="1:13" x14ac:dyDescent="0.3">
      <c r="A979" t="s">
        <v>19</v>
      </c>
      <c r="B979">
        <v>978</v>
      </c>
      <c r="C979" t="s">
        <v>105</v>
      </c>
      <c r="D979" t="s">
        <v>14</v>
      </c>
      <c r="E979">
        <v>2020</v>
      </c>
      <c r="F979" t="s">
        <v>39</v>
      </c>
      <c r="G979" t="s">
        <v>36</v>
      </c>
      <c r="H979" t="s">
        <v>17</v>
      </c>
      <c r="I979" t="s">
        <v>18</v>
      </c>
      <c r="J979">
        <v>0</v>
      </c>
      <c r="K979">
        <v>9.5</v>
      </c>
      <c r="L979">
        <v>110.4228</v>
      </c>
      <c r="M979">
        <v>4.4000000000000004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4.4000000000000004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4.4000000000000004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4.4000000000000004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4.4000000000000004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4.4000000000000004</v>
      </c>
    </row>
    <row r="1025" spans="1:13" x14ac:dyDescent="0.3">
      <c r="A1025" t="s">
        <v>19</v>
      </c>
      <c r="B1025">
        <v>1024</v>
      </c>
      <c r="C1025" t="s">
        <v>821</v>
      </c>
      <c r="D1025" t="s">
        <v>14</v>
      </c>
      <c r="E1025">
        <v>2018</v>
      </c>
      <c r="F1025" t="s">
        <v>140</v>
      </c>
      <c r="G1025" t="s">
        <v>16</v>
      </c>
      <c r="H1025" t="s">
        <v>28</v>
      </c>
      <c r="I1025" t="s">
        <v>42</v>
      </c>
      <c r="J1025">
        <v>0.104784329</v>
      </c>
      <c r="L1025">
        <v>150.4366</v>
      </c>
      <c r="M1025">
        <v>4.4000000000000004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4.4000000000000004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4.4000000000000004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4.4000000000000004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4.4000000000000004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4.4000000000000004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4.4000000000000004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4.4000000000000004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4.4000000000000004</v>
      </c>
    </row>
    <row r="1034" spans="1:13" x14ac:dyDescent="0.3">
      <c r="A1034" t="s">
        <v>12</v>
      </c>
      <c r="B1034">
        <v>1033</v>
      </c>
      <c r="C1034" t="s">
        <v>827</v>
      </c>
      <c r="D1034" t="s">
        <v>69</v>
      </c>
      <c r="E1034">
        <v>2018</v>
      </c>
      <c r="F1034" t="s">
        <v>140</v>
      </c>
      <c r="G1034" t="s">
        <v>16</v>
      </c>
      <c r="H1034" t="s">
        <v>28</v>
      </c>
      <c r="I1034" t="s">
        <v>42</v>
      </c>
      <c r="J1034">
        <v>0.208662546</v>
      </c>
      <c r="L1034">
        <v>231.83</v>
      </c>
      <c r="M1034">
        <v>4.4000000000000004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4.4000000000000004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4.4000000000000004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4.4000000000000004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4.4000000000000004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4.4000000000000004</v>
      </c>
    </row>
    <row r="1040" spans="1:13" x14ac:dyDescent="0.3">
      <c r="A1040" t="s">
        <v>37</v>
      </c>
      <c r="B1040">
        <v>1039</v>
      </c>
      <c r="C1040" t="s">
        <v>829</v>
      </c>
      <c r="D1040" t="s">
        <v>69</v>
      </c>
      <c r="E1040">
        <v>2018</v>
      </c>
      <c r="F1040" t="s">
        <v>140</v>
      </c>
      <c r="G1040" t="s">
        <v>16</v>
      </c>
      <c r="H1040" t="s">
        <v>28</v>
      </c>
      <c r="I1040" t="s">
        <v>42</v>
      </c>
      <c r="J1040">
        <v>0.210021713</v>
      </c>
      <c r="L1040">
        <v>44.2744</v>
      </c>
      <c r="M1040">
        <v>4.4000000000000004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4.4000000000000004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4.4000000000000004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4.4000000000000004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4.4000000000000004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633</v>
      </c>
      <c r="D1054" t="s">
        <v>66</v>
      </c>
      <c r="E1054">
        <v>2016</v>
      </c>
      <c r="F1054" t="s">
        <v>27</v>
      </c>
      <c r="G1054" t="s">
        <v>16</v>
      </c>
      <c r="H1054" t="s">
        <v>28</v>
      </c>
      <c r="I1054" t="s">
        <v>18</v>
      </c>
      <c r="J1054">
        <v>0</v>
      </c>
      <c r="K1054">
        <v>12.15</v>
      </c>
      <c r="L1054">
        <v>123.773</v>
      </c>
      <c r="M1054">
        <v>4.4000000000000004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4.4000000000000004</v>
      </c>
    </row>
    <row r="1057" spans="1:13" x14ac:dyDescent="0.3">
      <c r="A1057" t="s">
        <v>19</v>
      </c>
      <c r="B1057">
        <v>1056</v>
      </c>
      <c r="C1057" t="s">
        <v>835</v>
      </c>
      <c r="D1057" t="s">
        <v>50</v>
      </c>
      <c r="E1057">
        <v>2016</v>
      </c>
      <c r="F1057" t="s">
        <v>27</v>
      </c>
      <c r="G1057" t="s">
        <v>16</v>
      </c>
      <c r="H1057" t="s">
        <v>28</v>
      </c>
      <c r="I1057" t="s">
        <v>18</v>
      </c>
      <c r="J1057">
        <v>0</v>
      </c>
      <c r="K1057">
        <v>17.5</v>
      </c>
      <c r="L1057">
        <v>102.999</v>
      </c>
      <c r="M1057">
        <v>4.4000000000000004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4.4000000000000004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4.4000000000000004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4.4000000000000004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4.4000000000000004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4.4000000000000004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4.4000000000000004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4.4000000000000004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4.4000000000000004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4.4000000000000004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4.4000000000000004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4.4000000000000004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4.4000000000000004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4.4000000000000004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4.4000000000000004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4.4000000000000004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4.4000000000000004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4.4000000000000004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4.4000000000000004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4.4000000000000004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4.4000000000000004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4.4000000000000004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4.4000000000000004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4.4000000000000004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4.4000000000000004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4.4000000000000004</v>
      </c>
    </row>
    <row r="1265" spans="1:13" x14ac:dyDescent="0.3">
      <c r="A1265" t="s">
        <v>19</v>
      </c>
      <c r="B1265">
        <v>1264</v>
      </c>
      <c r="C1265" t="s">
        <v>950</v>
      </c>
      <c r="D1265" t="s">
        <v>63</v>
      </c>
      <c r="E1265">
        <v>2018</v>
      </c>
      <c r="F1265" t="s">
        <v>47</v>
      </c>
      <c r="G1265" t="s">
        <v>23</v>
      </c>
      <c r="H1265" t="s">
        <v>17</v>
      </c>
      <c r="I1265" t="s">
        <v>48</v>
      </c>
      <c r="J1265">
        <v>0</v>
      </c>
      <c r="L1265">
        <v>39.016399999999997</v>
      </c>
      <c r="M1265">
        <v>4.4000000000000004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4.4000000000000004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4.4000000000000004</v>
      </c>
    </row>
    <row r="1268" spans="1:13" x14ac:dyDescent="0.3">
      <c r="A1268" t="s">
        <v>19</v>
      </c>
      <c r="B1268">
        <v>1267</v>
      </c>
      <c r="C1268" t="s">
        <v>147</v>
      </c>
      <c r="D1268" t="s">
        <v>21</v>
      </c>
      <c r="E1268">
        <v>2018</v>
      </c>
      <c r="F1268" t="s">
        <v>47</v>
      </c>
      <c r="G1268" t="s">
        <v>23</v>
      </c>
      <c r="H1268" t="s">
        <v>17</v>
      </c>
      <c r="I1268" t="s">
        <v>48</v>
      </c>
      <c r="J1268">
        <v>0</v>
      </c>
      <c r="L1268">
        <v>125.173</v>
      </c>
      <c r="M1268">
        <v>4.4000000000000004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4.4000000000000004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4.4000000000000004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4.4000000000000004</v>
      </c>
    </row>
    <row r="1272" spans="1:13" x14ac:dyDescent="0.3">
      <c r="A1272" t="s">
        <v>19</v>
      </c>
      <c r="B1272">
        <v>1271</v>
      </c>
      <c r="C1272" t="s">
        <v>952</v>
      </c>
      <c r="D1272" t="s">
        <v>44</v>
      </c>
      <c r="E1272">
        <v>2018</v>
      </c>
      <c r="F1272" t="s">
        <v>47</v>
      </c>
      <c r="G1272" t="s">
        <v>23</v>
      </c>
      <c r="H1272" t="s">
        <v>17</v>
      </c>
      <c r="I1272" t="s">
        <v>48</v>
      </c>
      <c r="J1272">
        <v>1.055095E-2</v>
      </c>
      <c r="L1272">
        <v>234.9958</v>
      </c>
      <c r="M1272">
        <v>4.4000000000000004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4.4000000000000004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4.4000000000000004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4.4000000000000004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4.4000000000000004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4.4000000000000004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4.4000000000000004</v>
      </c>
    </row>
    <row r="1279" spans="1:13" x14ac:dyDescent="0.3">
      <c r="A1279" t="s">
        <v>12</v>
      </c>
      <c r="B1279">
        <v>1278</v>
      </c>
      <c r="C1279" t="s">
        <v>958</v>
      </c>
      <c r="D1279" t="s">
        <v>14</v>
      </c>
      <c r="E1279">
        <v>2018</v>
      </c>
      <c r="F1279" t="s">
        <v>47</v>
      </c>
      <c r="G1279" t="s">
        <v>23</v>
      </c>
      <c r="H1279" t="s">
        <v>17</v>
      </c>
      <c r="I1279" t="s">
        <v>48</v>
      </c>
      <c r="J1279">
        <v>0.158947217</v>
      </c>
      <c r="L1279">
        <v>145.5102</v>
      </c>
      <c r="M1279">
        <v>4.4000000000000004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4.4000000000000004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4.4000000000000004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4.4000000000000004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796</v>
      </c>
      <c r="D1284" t="s">
        <v>63</v>
      </c>
      <c r="E1284">
        <v>2018</v>
      </c>
      <c r="F1284" t="s">
        <v>47</v>
      </c>
      <c r="G1284" t="s">
        <v>23</v>
      </c>
      <c r="H1284" t="s">
        <v>17</v>
      </c>
      <c r="I1284" t="s">
        <v>48</v>
      </c>
      <c r="J1284">
        <v>3.4237681999999998E-2</v>
      </c>
      <c r="L1284">
        <v>113.2834</v>
      </c>
      <c r="M1284">
        <v>4.3</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4.3</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4.3</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4.3</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929</v>
      </c>
      <c r="D1292" t="s">
        <v>30</v>
      </c>
      <c r="E1292">
        <v>2018</v>
      </c>
      <c r="F1292" t="s">
        <v>47</v>
      </c>
      <c r="G1292" t="s">
        <v>23</v>
      </c>
      <c r="H1292" t="s">
        <v>17</v>
      </c>
      <c r="I1292" t="s">
        <v>48</v>
      </c>
      <c r="J1292">
        <v>3.3809912999999997E-2</v>
      </c>
      <c r="L1292">
        <v>180.5976</v>
      </c>
      <c r="M1292">
        <v>4.3</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4.3</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4.3</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4.3</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4.3</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4.3</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4.3</v>
      </c>
    </row>
    <row r="1311" spans="1:13" x14ac:dyDescent="0.3">
      <c r="A1311" t="s">
        <v>19</v>
      </c>
      <c r="B1311">
        <v>1310</v>
      </c>
      <c r="C1311" t="s">
        <v>966</v>
      </c>
      <c r="D1311" t="s">
        <v>63</v>
      </c>
      <c r="E1311">
        <v>2018</v>
      </c>
      <c r="F1311" t="s">
        <v>47</v>
      </c>
      <c r="G1311" t="s">
        <v>23</v>
      </c>
      <c r="H1311" t="s">
        <v>17</v>
      </c>
      <c r="I1311" t="s">
        <v>48</v>
      </c>
      <c r="J1311">
        <v>4.2086652000000002E-2</v>
      </c>
      <c r="L1311">
        <v>122.4388</v>
      </c>
      <c r="M1311">
        <v>4.3</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4.3</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4.3</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4.3</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4.3</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4.3</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4.3</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4.3</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4.3</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4.3</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4.3</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4.3</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4.3</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4.3</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v>1360</v>
      </c>
      <c r="C1361" t="s">
        <v>782</v>
      </c>
      <c r="D1361" t="s">
        <v>44</v>
      </c>
      <c r="E1361">
        <v>2018</v>
      </c>
      <c r="F1361" t="s">
        <v>47</v>
      </c>
      <c r="G1361" t="s">
        <v>23</v>
      </c>
      <c r="H1361" t="s">
        <v>17</v>
      </c>
      <c r="I1361" t="s">
        <v>48</v>
      </c>
      <c r="J1361">
        <v>2.9380407000000001E-2</v>
      </c>
      <c r="L1361">
        <v>114.715</v>
      </c>
      <c r="M1361">
        <v>4.3</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423</v>
      </c>
      <c r="D1408" t="s">
        <v>97</v>
      </c>
      <c r="E1408">
        <v>2012</v>
      </c>
      <c r="F1408" t="s">
        <v>15</v>
      </c>
      <c r="G1408" t="s">
        <v>16</v>
      </c>
      <c r="H1408" t="s">
        <v>17</v>
      </c>
      <c r="I1408" t="s">
        <v>18</v>
      </c>
      <c r="J1408">
        <v>0</v>
      </c>
      <c r="K1408">
        <v>6.78</v>
      </c>
      <c r="L1408">
        <v>95.012</v>
      </c>
      <c r="M1408">
        <v>4.3</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4.3</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4.3</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4.3</v>
      </c>
    </row>
    <row r="1439" spans="1:13" x14ac:dyDescent="0.3">
      <c r="A1439" t="s">
        <v>19</v>
      </c>
      <c r="B1439">
        <v>1438</v>
      </c>
      <c r="C1439" t="s">
        <v>634</v>
      </c>
      <c r="D1439" t="s">
        <v>97</v>
      </c>
      <c r="E1439">
        <v>2018</v>
      </c>
      <c r="F1439" t="s">
        <v>140</v>
      </c>
      <c r="G1439" t="s">
        <v>16</v>
      </c>
      <c r="H1439" t="s">
        <v>28</v>
      </c>
      <c r="I1439" t="s">
        <v>42</v>
      </c>
      <c r="J1439">
        <v>0.208987123</v>
      </c>
      <c r="L1439">
        <v>106.0596</v>
      </c>
      <c r="M1439">
        <v>4.3</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4.3</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4.3</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4.3</v>
      </c>
    </row>
    <row r="1443" spans="1:13" x14ac:dyDescent="0.3">
      <c r="A1443" t="s">
        <v>19</v>
      </c>
      <c r="B1443">
        <v>1442</v>
      </c>
      <c r="C1443" t="s">
        <v>1020</v>
      </c>
      <c r="D1443" t="s">
        <v>26</v>
      </c>
      <c r="E1443">
        <v>2018</v>
      </c>
      <c r="F1443" t="s">
        <v>140</v>
      </c>
      <c r="G1443" t="s">
        <v>16</v>
      </c>
      <c r="H1443" t="s">
        <v>28</v>
      </c>
      <c r="I1443" t="s">
        <v>42</v>
      </c>
      <c r="J1443">
        <v>0</v>
      </c>
      <c r="L1443">
        <v>109.9254</v>
      </c>
      <c r="M1443">
        <v>4.3</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4.3</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4.3</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4.3</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4.3</v>
      </c>
    </row>
    <row r="1448" spans="1:13" x14ac:dyDescent="0.3">
      <c r="A1448" t="s">
        <v>19</v>
      </c>
      <c r="B1448">
        <v>1447</v>
      </c>
      <c r="C1448" t="s">
        <v>993</v>
      </c>
      <c r="D1448" t="s">
        <v>21</v>
      </c>
      <c r="E1448">
        <v>2018</v>
      </c>
      <c r="F1448" t="s">
        <v>140</v>
      </c>
      <c r="G1448" t="s">
        <v>16</v>
      </c>
      <c r="H1448" t="s">
        <v>28</v>
      </c>
      <c r="I1448" t="s">
        <v>42</v>
      </c>
      <c r="J1448">
        <v>0</v>
      </c>
      <c r="L1448">
        <v>40.347999999999999</v>
      </c>
      <c r="M1448">
        <v>4.3</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4.3</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4.3</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4.3</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4.3</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4.3</v>
      </c>
    </row>
    <row r="1454" spans="1:13" x14ac:dyDescent="0.3">
      <c r="A1454" t="s">
        <v>19</v>
      </c>
      <c r="B1454">
        <v>1453</v>
      </c>
      <c r="C1454" t="s">
        <v>1025</v>
      </c>
      <c r="D1454" t="s">
        <v>44</v>
      </c>
      <c r="E1454">
        <v>2018</v>
      </c>
      <c r="F1454" t="s">
        <v>140</v>
      </c>
      <c r="G1454" t="s">
        <v>16</v>
      </c>
      <c r="H1454" t="s">
        <v>28</v>
      </c>
      <c r="I1454" t="s">
        <v>42</v>
      </c>
      <c r="J1454">
        <v>0.13027716</v>
      </c>
      <c r="L1454">
        <v>228.001</v>
      </c>
      <c r="M1454">
        <v>4.3</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4.3</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4.3</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4.3</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4.3</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4.3</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4.3</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4.3</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4.3</v>
      </c>
    </row>
    <row r="1463" spans="1:13" x14ac:dyDescent="0.3">
      <c r="A1463" t="s">
        <v>12</v>
      </c>
      <c r="B1463">
        <v>1462</v>
      </c>
      <c r="C1463" t="s">
        <v>703</v>
      </c>
      <c r="D1463" t="s">
        <v>69</v>
      </c>
      <c r="E1463">
        <v>2018</v>
      </c>
      <c r="F1463" t="s">
        <v>140</v>
      </c>
      <c r="G1463" t="s">
        <v>16</v>
      </c>
      <c r="H1463" t="s">
        <v>28</v>
      </c>
      <c r="I1463" t="s">
        <v>42</v>
      </c>
      <c r="J1463">
        <v>0</v>
      </c>
      <c r="L1463">
        <v>55.9298</v>
      </c>
      <c r="M1463">
        <v>4.3</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4.3</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4.3</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4.3</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4.3</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4.3</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4.3</v>
      </c>
    </row>
    <row r="1470" spans="1:13" x14ac:dyDescent="0.3">
      <c r="A1470" t="s">
        <v>12</v>
      </c>
      <c r="B1470">
        <v>1469</v>
      </c>
      <c r="C1470" t="s">
        <v>1031</v>
      </c>
      <c r="D1470" t="s">
        <v>56</v>
      </c>
      <c r="E1470">
        <v>2018</v>
      </c>
      <c r="F1470" t="s">
        <v>140</v>
      </c>
      <c r="G1470" t="s">
        <v>16</v>
      </c>
      <c r="H1470" t="s">
        <v>28</v>
      </c>
      <c r="I1470" t="s">
        <v>42</v>
      </c>
      <c r="J1470">
        <v>0.10697116700000001</v>
      </c>
      <c r="L1470">
        <v>44.7744</v>
      </c>
      <c r="M1470">
        <v>4.3</v>
      </c>
    </row>
    <row r="1471" spans="1:13" x14ac:dyDescent="0.3">
      <c r="A1471" t="s">
        <v>12</v>
      </c>
      <c r="B1471">
        <v>1470</v>
      </c>
      <c r="C1471" t="s">
        <v>812</v>
      </c>
      <c r="D1471" t="s">
        <v>50</v>
      </c>
      <c r="E1471">
        <v>2018</v>
      </c>
      <c r="F1471" t="s">
        <v>140</v>
      </c>
      <c r="G1471" t="s">
        <v>16</v>
      </c>
      <c r="H1471" t="s">
        <v>28</v>
      </c>
      <c r="I1471" t="s">
        <v>42</v>
      </c>
      <c r="J1471">
        <v>7.8758649E-2</v>
      </c>
      <c r="L1471">
        <v>103.0016</v>
      </c>
      <c r="M1471">
        <v>4.3</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4.3</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4.3</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4.3</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4.3</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4.3</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4.3</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4.3</v>
      </c>
    </row>
    <row r="1480" spans="1:13" x14ac:dyDescent="0.3">
      <c r="A1480" t="s">
        <v>19</v>
      </c>
      <c r="B1480">
        <v>1479</v>
      </c>
      <c r="C1480" t="s">
        <v>369</v>
      </c>
      <c r="D1480" t="s">
        <v>59</v>
      </c>
      <c r="E1480">
        <v>2016</v>
      </c>
      <c r="F1480" t="s">
        <v>27</v>
      </c>
      <c r="G1480" t="s">
        <v>16</v>
      </c>
      <c r="H1480" t="s">
        <v>28</v>
      </c>
      <c r="I1480" t="s">
        <v>18</v>
      </c>
      <c r="J1480">
        <v>0</v>
      </c>
      <c r="K1480">
        <v>12.15</v>
      </c>
      <c r="L1480">
        <v>164.7184</v>
      </c>
      <c r="M1480">
        <v>4.3</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4.3</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4.3</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4.3</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4.3</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4.3</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4.3</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4.3</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4.3</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4.3</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4.3</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4.3</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4.3</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4.3</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4.3</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4.3</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4.3</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4.3</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4.3</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4.3</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4.3</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4.3</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4.3</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4.3</v>
      </c>
    </row>
    <row r="1506" spans="1:13" x14ac:dyDescent="0.3">
      <c r="A1506" t="s">
        <v>19</v>
      </c>
      <c r="B1506">
        <v>1505</v>
      </c>
      <c r="C1506" t="s">
        <v>631</v>
      </c>
      <c r="D1506" t="s">
        <v>66</v>
      </c>
      <c r="E1506">
        <v>2016</v>
      </c>
      <c r="F1506" t="s">
        <v>27</v>
      </c>
      <c r="G1506" t="s">
        <v>16</v>
      </c>
      <c r="H1506" t="s">
        <v>28</v>
      </c>
      <c r="I1506" t="s">
        <v>18</v>
      </c>
      <c r="J1506">
        <v>0</v>
      </c>
      <c r="K1506">
        <v>12.15</v>
      </c>
      <c r="L1506">
        <v>254.904</v>
      </c>
      <c r="M1506">
        <v>4.3</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4.3</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4.3</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4.3</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4.3</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4.3</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4.3</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4.3</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4.3</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4.3</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4.3</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4.3</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4.3</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4.3</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4.3</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4.3</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4.3</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4.3</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4.3</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4.3</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4.3</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4.3</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4.3</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4.3</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4.3</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4.3</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4.3</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4.3</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4.3</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4.3</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4.3</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4.3</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4.3</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4.3</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4.3</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4.3</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4.3</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4.3</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4.3</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4.3</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4.3</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4.3</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4.3</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4.3</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4.3</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4.3</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4.3</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4.3</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4.3</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4.3</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4.3</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4.3</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4.3</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4.3</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4.3</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4.3</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4.3</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4.3</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4.3</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4.3</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4.3</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4.3</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4.3</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4.3</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4.3</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4.3</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4.3</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4.3</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4.3</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4.3</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4.3</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4.3</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4.3</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4.3</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4.3</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4.3</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4.3</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4.3</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4.3</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4.3</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4.3</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4.3</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4.3</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4.3</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4.3</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4.3</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4.3</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4.3</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4.3</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4.3</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4.3</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4.3</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4.3</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v>1835</v>
      </c>
      <c r="C1836" t="s">
        <v>1130</v>
      </c>
      <c r="D1836" t="s">
        <v>97</v>
      </c>
      <c r="E1836">
        <v>2022</v>
      </c>
      <c r="F1836" t="s">
        <v>22</v>
      </c>
      <c r="G1836" t="s">
        <v>23</v>
      </c>
      <c r="H1836" t="s">
        <v>17</v>
      </c>
      <c r="I1836" t="s">
        <v>24</v>
      </c>
      <c r="J1836">
        <v>0</v>
      </c>
      <c r="K1836">
        <v>20</v>
      </c>
      <c r="L1836">
        <v>43.4086</v>
      </c>
      <c r="M1836">
        <v>4.3</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4.3</v>
      </c>
    </row>
    <row r="1913" spans="1:13" x14ac:dyDescent="0.3">
      <c r="A1913" t="s">
        <v>19</v>
      </c>
      <c r="B1913">
        <v>1912</v>
      </c>
      <c r="C1913" t="s">
        <v>1186</v>
      </c>
      <c r="D1913" t="s">
        <v>14</v>
      </c>
      <c r="E1913">
        <v>2018</v>
      </c>
      <c r="F1913" t="s">
        <v>47</v>
      </c>
      <c r="G1913" t="s">
        <v>23</v>
      </c>
      <c r="H1913" t="s">
        <v>17</v>
      </c>
      <c r="I1913" t="s">
        <v>48</v>
      </c>
      <c r="J1913">
        <v>0</v>
      </c>
      <c r="L1913">
        <v>245.01439999999999</v>
      </c>
      <c r="M1913">
        <v>4.3</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4.3</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4.3</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4.3</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4.3</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4.3</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4.3</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4.3</v>
      </c>
    </row>
    <row r="1921" spans="1:13" x14ac:dyDescent="0.3">
      <c r="A1921" t="s">
        <v>19</v>
      </c>
      <c r="B1921">
        <v>1920</v>
      </c>
      <c r="C1921" t="s">
        <v>1190</v>
      </c>
      <c r="D1921" t="s">
        <v>30</v>
      </c>
      <c r="E1921">
        <v>2018</v>
      </c>
      <c r="F1921" t="s">
        <v>47</v>
      </c>
      <c r="G1921" t="s">
        <v>23</v>
      </c>
      <c r="H1921" t="s">
        <v>17</v>
      </c>
      <c r="I1921" t="s">
        <v>48</v>
      </c>
      <c r="J1921">
        <v>0.116762173</v>
      </c>
      <c r="L1921">
        <v>198.9768</v>
      </c>
      <c r="M1921">
        <v>4.3</v>
      </c>
    </row>
    <row r="1922" spans="1:13" x14ac:dyDescent="0.3">
      <c r="A1922" t="s">
        <v>19</v>
      </c>
      <c r="B1922">
        <v>1921</v>
      </c>
      <c r="C1922" t="s">
        <v>167</v>
      </c>
      <c r="D1922" t="s">
        <v>30</v>
      </c>
      <c r="E1922">
        <v>2018</v>
      </c>
      <c r="F1922" t="s">
        <v>47</v>
      </c>
      <c r="G1922" t="s">
        <v>23</v>
      </c>
      <c r="H1922" t="s">
        <v>17</v>
      </c>
      <c r="I1922" t="s">
        <v>48</v>
      </c>
      <c r="J1922">
        <v>7.3470233999999995E-2</v>
      </c>
      <c r="L1922">
        <v>205.3638</v>
      </c>
      <c r="M1922">
        <v>4.3</v>
      </c>
    </row>
    <row r="1923" spans="1:13" x14ac:dyDescent="0.3">
      <c r="A1923" t="s">
        <v>19</v>
      </c>
      <c r="B1923">
        <v>1922</v>
      </c>
      <c r="C1923" t="s">
        <v>1067</v>
      </c>
      <c r="D1923" t="s">
        <v>69</v>
      </c>
      <c r="E1923">
        <v>2018</v>
      </c>
      <c r="F1923" t="s">
        <v>47</v>
      </c>
      <c r="G1923" t="s">
        <v>23</v>
      </c>
      <c r="H1923" t="s">
        <v>17</v>
      </c>
      <c r="I1923" t="s">
        <v>48</v>
      </c>
      <c r="J1923">
        <v>1.769927E-2</v>
      </c>
      <c r="L1923">
        <v>74.2012</v>
      </c>
      <c r="M1923">
        <v>4.3</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4.3</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4.3</v>
      </c>
    </row>
    <row r="1926" spans="1:13" x14ac:dyDescent="0.3">
      <c r="A1926" t="s">
        <v>19</v>
      </c>
      <c r="B1926">
        <v>1925</v>
      </c>
      <c r="C1926" t="s">
        <v>454</v>
      </c>
      <c r="D1926" t="s">
        <v>26</v>
      </c>
      <c r="E1926">
        <v>2018</v>
      </c>
      <c r="F1926" t="s">
        <v>47</v>
      </c>
      <c r="G1926" t="s">
        <v>23</v>
      </c>
      <c r="H1926" t="s">
        <v>17</v>
      </c>
      <c r="I1926" t="s">
        <v>48</v>
      </c>
      <c r="J1926">
        <v>8.1614376000000002E-2</v>
      </c>
      <c r="L1926">
        <v>214.7534</v>
      </c>
      <c r="M1926">
        <v>4.3</v>
      </c>
    </row>
    <row r="1927" spans="1:13" x14ac:dyDescent="0.3">
      <c r="A1927" t="s">
        <v>19</v>
      </c>
      <c r="B1927">
        <v>1926</v>
      </c>
      <c r="C1927" t="s">
        <v>1191</v>
      </c>
      <c r="D1927" t="s">
        <v>26</v>
      </c>
      <c r="E1927">
        <v>2018</v>
      </c>
      <c r="F1927" t="s">
        <v>47</v>
      </c>
      <c r="G1927" t="s">
        <v>23</v>
      </c>
      <c r="H1927" t="s">
        <v>17</v>
      </c>
      <c r="I1927" t="s">
        <v>48</v>
      </c>
      <c r="J1927">
        <v>0</v>
      </c>
      <c r="L1927">
        <v>100.7042</v>
      </c>
      <c r="M1927">
        <v>4.3</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4.3</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4.3</v>
      </c>
    </row>
    <row r="1930" spans="1:13" x14ac:dyDescent="0.3">
      <c r="A1930" t="s">
        <v>19</v>
      </c>
      <c r="B1930">
        <v>1929</v>
      </c>
      <c r="C1930" t="s">
        <v>107</v>
      </c>
      <c r="D1930" t="s">
        <v>14</v>
      </c>
      <c r="E1930">
        <v>2018</v>
      </c>
      <c r="F1930" t="s">
        <v>47</v>
      </c>
      <c r="G1930" t="s">
        <v>23</v>
      </c>
      <c r="H1930" t="s">
        <v>17</v>
      </c>
      <c r="I1930" t="s">
        <v>48</v>
      </c>
      <c r="J1930">
        <v>0.17176107700000001</v>
      </c>
      <c r="L1930">
        <v>115.7518</v>
      </c>
      <c r="M1930">
        <v>4.3</v>
      </c>
    </row>
    <row r="1931" spans="1:13" x14ac:dyDescent="0.3">
      <c r="A1931" t="s">
        <v>19</v>
      </c>
      <c r="B1931">
        <v>1930</v>
      </c>
      <c r="C1931" t="s">
        <v>495</v>
      </c>
      <c r="D1931" t="s">
        <v>14</v>
      </c>
      <c r="E1931">
        <v>2018</v>
      </c>
      <c r="F1931" t="s">
        <v>47</v>
      </c>
      <c r="G1931" t="s">
        <v>23</v>
      </c>
      <c r="H1931" t="s">
        <v>17</v>
      </c>
      <c r="I1931" t="s">
        <v>48</v>
      </c>
      <c r="J1931">
        <v>3.5183156E-2</v>
      </c>
      <c r="L1931">
        <v>37.8506</v>
      </c>
      <c r="M1931">
        <v>4.3</v>
      </c>
    </row>
    <row r="1932" spans="1:13" x14ac:dyDescent="0.3">
      <c r="A1932" t="s">
        <v>19</v>
      </c>
      <c r="B1932">
        <v>1931</v>
      </c>
      <c r="C1932" t="s">
        <v>1193</v>
      </c>
      <c r="D1932" t="s">
        <v>14</v>
      </c>
      <c r="E1932">
        <v>2018</v>
      </c>
      <c r="F1932" t="s">
        <v>47</v>
      </c>
      <c r="G1932" t="s">
        <v>23</v>
      </c>
      <c r="H1932" t="s">
        <v>17</v>
      </c>
      <c r="I1932" t="s">
        <v>48</v>
      </c>
      <c r="J1932">
        <v>2.0614212E-2</v>
      </c>
      <c r="L1932">
        <v>126.4046</v>
      </c>
      <c r="M1932">
        <v>4.3</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4.3</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4.3</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4.3</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4.3</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4.3</v>
      </c>
    </row>
    <row r="1938" spans="1:13" x14ac:dyDescent="0.3">
      <c r="A1938" t="s">
        <v>19</v>
      </c>
      <c r="B1938">
        <v>1937</v>
      </c>
      <c r="C1938" t="s">
        <v>328</v>
      </c>
      <c r="D1938" t="s">
        <v>21</v>
      </c>
      <c r="E1938">
        <v>2018</v>
      </c>
      <c r="F1938" t="s">
        <v>47</v>
      </c>
      <c r="G1938" t="s">
        <v>23</v>
      </c>
      <c r="H1938" t="s">
        <v>17</v>
      </c>
      <c r="I1938" t="s">
        <v>48</v>
      </c>
      <c r="J1938">
        <v>0.116366304</v>
      </c>
      <c r="L1938">
        <v>158.363</v>
      </c>
      <c r="M1938">
        <v>4.3</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4.3</v>
      </c>
    </row>
    <row r="1940" spans="1:13" x14ac:dyDescent="0.3">
      <c r="A1940" t="s">
        <v>19</v>
      </c>
      <c r="B1940">
        <v>1939</v>
      </c>
      <c r="C1940" t="s">
        <v>219</v>
      </c>
      <c r="D1940" t="s">
        <v>44</v>
      </c>
      <c r="E1940">
        <v>2018</v>
      </c>
      <c r="F1940" t="s">
        <v>47</v>
      </c>
      <c r="G1940" t="s">
        <v>23</v>
      </c>
      <c r="H1940" t="s">
        <v>17</v>
      </c>
      <c r="I1940" t="s">
        <v>48</v>
      </c>
      <c r="J1940">
        <v>0.17641157900000001</v>
      </c>
      <c r="L1940">
        <v>173.2422</v>
      </c>
      <c r="M1940">
        <v>4.3</v>
      </c>
    </row>
    <row r="1941" spans="1:13" x14ac:dyDescent="0.3">
      <c r="A1941" t="s">
        <v>19</v>
      </c>
      <c r="B1941">
        <v>1940</v>
      </c>
      <c r="C1941" t="s">
        <v>383</v>
      </c>
      <c r="D1941" t="s">
        <v>44</v>
      </c>
      <c r="E1941">
        <v>2018</v>
      </c>
      <c r="F1941" t="s">
        <v>47</v>
      </c>
      <c r="G1941" t="s">
        <v>23</v>
      </c>
      <c r="H1941" t="s">
        <v>17</v>
      </c>
      <c r="I1941" t="s">
        <v>48</v>
      </c>
      <c r="J1941">
        <v>3.4504413999999997E-2</v>
      </c>
      <c r="L1941">
        <v>125.202</v>
      </c>
      <c r="M1941">
        <v>4.3</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4.3</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4.3</v>
      </c>
    </row>
    <row r="1944" spans="1:13" x14ac:dyDescent="0.3">
      <c r="A1944" t="s">
        <v>19</v>
      </c>
      <c r="B1944">
        <v>1943</v>
      </c>
      <c r="C1944" t="s">
        <v>113</v>
      </c>
      <c r="D1944" t="s">
        <v>44</v>
      </c>
      <c r="E1944">
        <v>2018</v>
      </c>
      <c r="F1944" t="s">
        <v>47</v>
      </c>
      <c r="G1944" t="s">
        <v>23</v>
      </c>
      <c r="H1944" t="s">
        <v>17</v>
      </c>
      <c r="I1944" t="s">
        <v>48</v>
      </c>
      <c r="J1944">
        <v>4.7827138999999998E-2</v>
      </c>
      <c r="L1944">
        <v>105.3622</v>
      </c>
      <c r="M1944">
        <v>4.3</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4.3</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4.3</v>
      </c>
    </row>
    <row r="1947" spans="1:13" x14ac:dyDescent="0.3">
      <c r="A1947" t="s">
        <v>19</v>
      </c>
      <c r="B1947">
        <v>1946</v>
      </c>
      <c r="C1947" t="s">
        <v>153</v>
      </c>
      <c r="D1947" t="s">
        <v>56</v>
      </c>
      <c r="E1947">
        <v>2018</v>
      </c>
      <c r="F1947" t="s">
        <v>47</v>
      </c>
      <c r="G1947" t="s">
        <v>23</v>
      </c>
      <c r="H1947" t="s">
        <v>17</v>
      </c>
      <c r="I1947" t="s">
        <v>48</v>
      </c>
      <c r="J1947">
        <v>1.6653022E-2</v>
      </c>
      <c r="L1947">
        <v>139.518</v>
      </c>
      <c r="M1947">
        <v>4.3</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4.3</v>
      </c>
    </row>
    <row r="1949" spans="1:13" x14ac:dyDescent="0.3">
      <c r="A1949" t="s">
        <v>19</v>
      </c>
      <c r="B1949">
        <v>1948</v>
      </c>
      <c r="C1949" t="s">
        <v>331</v>
      </c>
      <c r="D1949" t="s">
        <v>56</v>
      </c>
      <c r="E1949">
        <v>2018</v>
      </c>
      <c r="F1949" t="s">
        <v>47</v>
      </c>
      <c r="G1949" t="s">
        <v>23</v>
      </c>
      <c r="H1949" t="s">
        <v>17</v>
      </c>
      <c r="I1949" t="s">
        <v>48</v>
      </c>
      <c r="J1949">
        <v>8.0649684999999999E-2</v>
      </c>
      <c r="L1949">
        <v>189.9846</v>
      </c>
      <c r="M1949">
        <v>4.3</v>
      </c>
    </row>
    <row r="1950" spans="1:13" x14ac:dyDescent="0.3">
      <c r="A1950" t="s">
        <v>19</v>
      </c>
      <c r="B1950">
        <v>1949</v>
      </c>
      <c r="C1950" t="s">
        <v>245</v>
      </c>
      <c r="D1950" t="s">
        <v>56</v>
      </c>
      <c r="E1950">
        <v>2018</v>
      </c>
      <c r="F1950" t="s">
        <v>47</v>
      </c>
      <c r="G1950" t="s">
        <v>23</v>
      </c>
      <c r="H1950" t="s">
        <v>17</v>
      </c>
      <c r="I1950" t="s">
        <v>48</v>
      </c>
      <c r="J1950">
        <v>9.9503430000000004E-3</v>
      </c>
      <c r="L1950">
        <v>185.5608</v>
      </c>
      <c r="M1950">
        <v>4.3</v>
      </c>
    </row>
    <row r="1951" spans="1:13" x14ac:dyDescent="0.3">
      <c r="A1951" t="s">
        <v>19</v>
      </c>
      <c r="B1951">
        <v>1950</v>
      </c>
      <c r="C1951" t="s">
        <v>178</v>
      </c>
      <c r="D1951" t="s">
        <v>56</v>
      </c>
      <c r="E1951">
        <v>2018</v>
      </c>
      <c r="F1951" t="s">
        <v>47</v>
      </c>
      <c r="G1951" t="s">
        <v>23</v>
      </c>
      <c r="H1951" t="s">
        <v>17</v>
      </c>
      <c r="I1951" t="s">
        <v>48</v>
      </c>
      <c r="J1951">
        <v>3.2381325000000002E-2</v>
      </c>
      <c r="L1951">
        <v>166.1842</v>
      </c>
      <c r="M1951">
        <v>4.3</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4.3</v>
      </c>
    </row>
    <row r="1953" spans="1:13" x14ac:dyDescent="0.3">
      <c r="A1953" t="s">
        <v>19</v>
      </c>
      <c r="B1953">
        <v>1952</v>
      </c>
      <c r="C1953" t="s">
        <v>1196</v>
      </c>
      <c r="D1953" t="s">
        <v>66</v>
      </c>
      <c r="E1953">
        <v>2018</v>
      </c>
      <c r="F1953" t="s">
        <v>47</v>
      </c>
      <c r="G1953" t="s">
        <v>23</v>
      </c>
      <c r="H1953" t="s">
        <v>17</v>
      </c>
      <c r="I1953" t="s">
        <v>48</v>
      </c>
      <c r="J1953">
        <v>1.9381059999999999E-2</v>
      </c>
      <c r="L1953">
        <v>164.321</v>
      </c>
      <c r="M1953">
        <v>4.3</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4.3</v>
      </c>
    </row>
    <row r="1955" spans="1:13" x14ac:dyDescent="0.3">
      <c r="A1955" t="s">
        <v>19</v>
      </c>
      <c r="B1955">
        <v>1954</v>
      </c>
      <c r="C1955" t="s">
        <v>1198</v>
      </c>
      <c r="D1955" t="s">
        <v>50</v>
      </c>
      <c r="E1955">
        <v>2018</v>
      </c>
      <c r="F1955" t="s">
        <v>47</v>
      </c>
      <c r="G1955" t="s">
        <v>23</v>
      </c>
      <c r="H1955" t="s">
        <v>17</v>
      </c>
      <c r="I1955" t="s">
        <v>48</v>
      </c>
      <c r="J1955">
        <v>0.17025446899999999</v>
      </c>
      <c r="L1955">
        <v>124.8704</v>
      </c>
      <c r="M1955">
        <v>4.3</v>
      </c>
    </row>
    <row r="1956" spans="1:13" x14ac:dyDescent="0.3">
      <c r="A1956" t="s">
        <v>19</v>
      </c>
      <c r="B1956">
        <v>1955</v>
      </c>
      <c r="C1956" t="s">
        <v>1168</v>
      </c>
      <c r="D1956" t="s">
        <v>34</v>
      </c>
      <c r="E1956">
        <v>2018</v>
      </c>
      <c r="F1956" t="s">
        <v>47</v>
      </c>
      <c r="G1956" t="s">
        <v>23</v>
      </c>
      <c r="H1956" t="s">
        <v>17</v>
      </c>
      <c r="I1956" t="s">
        <v>48</v>
      </c>
      <c r="J1956">
        <v>7.8589628999999994E-2</v>
      </c>
      <c r="L1956">
        <v>113.286</v>
      </c>
      <c r="M1956">
        <v>4.3</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4.3</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4.3</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4.3</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4.3</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4.3</v>
      </c>
    </row>
    <row r="1962" spans="1:13" x14ac:dyDescent="0.3">
      <c r="A1962" t="s">
        <v>12</v>
      </c>
      <c r="B1962">
        <v>1961</v>
      </c>
      <c r="C1962" t="s">
        <v>938</v>
      </c>
      <c r="D1962" t="s">
        <v>59</v>
      </c>
      <c r="E1962">
        <v>2018</v>
      </c>
      <c r="F1962" t="s">
        <v>47</v>
      </c>
      <c r="G1962" t="s">
        <v>23</v>
      </c>
      <c r="H1962" t="s">
        <v>17</v>
      </c>
      <c r="I1962" t="s">
        <v>48</v>
      </c>
      <c r="J1962">
        <v>4.368089E-2</v>
      </c>
      <c r="L1962">
        <v>110.157</v>
      </c>
      <c r="M1962">
        <v>4.3</v>
      </c>
    </row>
    <row r="1963" spans="1:13" x14ac:dyDescent="0.3">
      <c r="A1963" t="s">
        <v>12</v>
      </c>
      <c r="B1963">
        <v>1962</v>
      </c>
      <c r="C1963" t="s">
        <v>985</v>
      </c>
      <c r="D1963" t="s">
        <v>59</v>
      </c>
      <c r="E1963">
        <v>2018</v>
      </c>
      <c r="F1963" t="s">
        <v>47</v>
      </c>
      <c r="G1963" t="s">
        <v>23</v>
      </c>
      <c r="H1963" t="s">
        <v>17</v>
      </c>
      <c r="I1963" t="s">
        <v>48</v>
      </c>
      <c r="J1963">
        <v>2.2170591999999999E-2</v>
      </c>
      <c r="L1963">
        <v>105.199</v>
      </c>
      <c r="M1963">
        <v>4.3</v>
      </c>
    </row>
    <row r="1964" spans="1:13" x14ac:dyDescent="0.3">
      <c r="A1964" t="s">
        <v>12</v>
      </c>
      <c r="B1964">
        <v>1963</v>
      </c>
      <c r="C1964" t="s">
        <v>162</v>
      </c>
      <c r="D1964" t="s">
        <v>30</v>
      </c>
      <c r="E1964">
        <v>2018</v>
      </c>
      <c r="F1964" t="s">
        <v>47</v>
      </c>
      <c r="G1964" t="s">
        <v>23</v>
      </c>
      <c r="H1964" t="s">
        <v>17</v>
      </c>
      <c r="I1964" t="s">
        <v>48</v>
      </c>
      <c r="J1964">
        <v>0</v>
      </c>
      <c r="L1964">
        <v>100.3674</v>
      </c>
      <c r="M1964">
        <v>4.3</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4.3</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4.3</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4.3</v>
      </c>
    </row>
    <row r="1968" spans="1:13" x14ac:dyDescent="0.3">
      <c r="A1968" t="s">
        <v>12</v>
      </c>
      <c r="B1968">
        <v>1967</v>
      </c>
      <c r="C1968" t="s">
        <v>680</v>
      </c>
      <c r="D1968" t="s">
        <v>14</v>
      </c>
      <c r="E1968">
        <v>2018</v>
      </c>
      <c r="F1968" t="s">
        <v>47</v>
      </c>
      <c r="G1968" t="s">
        <v>23</v>
      </c>
      <c r="H1968" t="s">
        <v>17</v>
      </c>
      <c r="I1968" t="s">
        <v>48</v>
      </c>
      <c r="J1968">
        <v>4.9842613000000001E-2</v>
      </c>
      <c r="L1968">
        <v>164.2526</v>
      </c>
      <c r="M1968">
        <v>4.3</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4.3</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4.3</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4.3</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4.3</v>
      </c>
    </row>
    <row r="1973" spans="1:13" x14ac:dyDescent="0.3">
      <c r="A1973" t="s">
        <v>12</v>
      </c>
      <c r="B1973">
        <v>1972</v>
      </c>
      <c r="C1973" t="s">
        <v>1203</v>
      </c>
      <c r="D1973" t="s">
        <v>50</v>
      </c>
      <c r="E1973">
        <v>2018</v>
      </c>
      <c r="F1973" t="s">
        <v>47</v>
      </c>
      <c r="G1973" t="s">
        <v>23</v>
      </c>
      <c r="H1973" t="s">
        <v>17</v>
      </c>
      <c r="I1973" t="s">
        <v>48</v>
      </c>
      <c r="J1973">
        <v>8.7894475E-2</v>
      </c>
      <c r="L1973">
        <v>121.173</v>
      </c>
      <c r="M1973">
        <v>4.3</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4.3</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4.3</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4.3</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4.2</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4.2</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4.2</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4.2</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4.2</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4.2</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903</v>
      </c>
      <c r="D1988" t="s">
        <v>26</v>
      </c>
      <c r="E1988">
        <v>2017</v>
      </c>
      <c r="F1988" t="s">
        <v>52</v>
      </c>
      <c r="G1988" t="s">
        <v>36</v>
      </c>
      <c r="H1988" t="s">
        <v>28</v>
      </c>
      <c r="I1988" t="s">
        <v>18</v>
      </c>
      <c r="J1988">
        <v>0</v>
      </c>
      <c r="K1988">
        <v>14</v>
      </c>
      <c r="L1988">
        <v>53.064</v>
      </c>
      <c r="M1988">
        <v>4.2</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4.2</v>
      </c>
    </row>
    <row r="1990" spans="1:13" x14ac:dyDescent="0.3">
      <c r="A1990" t="s">
        <v>19</v>
      </c>
      <c r="B1990">
        <v>1989</v>
      </c>
      <c r="C1990" t="s">
        <v>1208</v>
      </c>
      <c r="D1990" t="s">
        <v>21</v>
      </c>
      <c r="E1990">
        <v>2018</v>
      </c>
      <c r="F1990" t="s">
        <v>140</v>
      </c>
      <c r="G1990" t="s">
        <v>16</v>
      </c>
      <c r="H1990" t="s">
        <v>28</v>
      </c>
      <c r="I1990" t="s">
        <v>42</v>
      </c>
      <c r="J1990">
        <v>0.12847846199999999</v>
      </c>
      <c r="L1990">
        <v>117.944</v>
      </c>
      <c r="M1990">
        <v>4.2</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4.2</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4.2</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4.2</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4.2</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4.2</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4.2</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4.2</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4.2</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1220</v>
      </c>
      <c r="D2018" t="s">
        <v>30</v>
      </c>
      <c r="E2018">
        <v>2018</v>
      </c>
      <c r="F2018" t="s">
        <v>140</v>
      </c>
      <c r="G2018" t="s">
        <v>16</v>
      </c>
      <c r="H2018" t="s">
        <v>28</v>
      </c>
      <c r="I2018" t="s">
        <v>42</v>
      </c>
      <c r="J2018">
        <v>0</v>
      </c>
      <c r="L2018">
        <v>160.69200000000001</v>
      </c>
      <c r="M2018">
        <v>4.2</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481</v>
      </c>
      <c r="D2020" t="s">
        <v>50</v>
      </c>
      <c r="E2020">
        <v>2018</v>
      </c>
      <c r="F2020" t="s">
        <v>140</v>
      </c>
      <c r="G2020" t="s">
        <v>16</v>
      </c>
      <c r="H2020" t="s">
        <v>28</v>
      </c>
      <c r="I2020" t="s">
        <v>42</v>
      </c>
      <c r="J2020">
        <v>5.1778172999999997E-2</v>
      </c>
      <c r="L2020">
        <v>157.892</v>
      </c>
      <c r="M2020">
        <v>4.2</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307</v>
      </c>
      <c r="D2022" t="s">
        <v>50</v>
      </c>
      <c r="E2022">
        <v>2018</v>
      </c>
      <c r="F2022" t="s">
        <v>47</v>
      </c>
      <c r="G2022" t="s">
        <v>23</v>
      </c>
      <c r="H2022" t="s">
        <v>17</v>
      </c>
      <c r="I2022" t="s">
        <v>48</v>
      </c>
      <c r="J2022">
        <v>5.3795153999999998E-2</v>
      </c>
      <c r="L2022">
        <v>117.7466</v>
      </c>
      <c r="M2022">
        <v>4.2</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4.2</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755</v>
      </c>
      <c r="D2028" t="s">
        <v>44</v>
      </c>
      <c r="E2028">
        <v>2018</v>
      </c>
      <c r="F2028" t="s">
        <v>140</v>
      </c>
      <c r="G2028" t="s">
        <v>16</v>
      </c>
      <c r="H2028" t="s">
        <v>28</v>
      </c>
      <c r="I2028" t="s">
        <v>42</v>
      </c>
      <c r="J2028">
        <v>0.164864915</v>
      </c>
      <c r="L2028">
        <v>255.2698</v>
      </c>
      <c r="M2028">
        <v>4.2</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4.2</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4.2</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4.2</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4.2</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4.2</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4.2</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4.2</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4.2</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4.2</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1060</v>
      </c>
      <c r="D2045" t="s">
        <v>34</v>
      </c>
      <c r="E2045">
        <v>2011</v>
      </c>
      <c r="F2045" t="s">
        <v>41</v>
      </c>
      <c r="G2045" t="s">
        <v>23</v>
      </c>
      <c r="H2045" t="s">
        <v>17</v>
      </c>
      <c r="I2045" t="s">
        <v>42</v>
      </c>
      <c r="J2045">
        <v>0</v>
      </c>
      <c r="K2045">
        <v>9.5</v>
      </c>
      <c r="L2045">
        <v>32.89</v>
      </c>
      <c r="M2045">
        <v>4.2</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4.2</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4.2</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4.2</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4.2</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4.2</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4.2</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4.2</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4.2</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4.2</v>
      </c>
    </row>
    <row r="2127" spans="1:13" x14ac:dyDescent="0.3">
      <c r="A2127" t="s">
        <v>19</v>
      </c>
      <c r="B2127">
        <v>2126</v>
      </c>
      <c r="C2127" t="s">
        <v>707</v>
      </c>
      <c r="D2127" t="s">
        <v>30</v>
      </c>
      <c r="E2127">
        <v>2018</v>
      </c>
      <c r="F2127" t="s">
        <v>140</v>
      </c>
      <c r="G2127" t="s">
        <v>16</v>
      </c>
      <c r="H2127" t="s">
        <v>28</v>
      </c>
      <c r="I2127" t="s">
        <v>42</v>
      </c>
      <c r="J2127">
        <v>0.137539574</v>
      </c>
      <c r="L2127">
        <v>38.8506</v>
      </c>
      <c r="M2127">
        <v>4.2</v>
      </c>
    </row>
    <row r="2128" spans="1:13" x14ac:dyDescent="0.3">
      <c r="A2128" t="s">
        <v>19</v>
      </c>
      <c r="B2128">
        <v>2127</v>
      </c>
      <c r="C2128" t="s">
        <v>165</v>
      </c>
      <c r="D2128" t="s">
        <v>30</v>
      </c>
      <c r="E2128">
        <v>2018</v>
      </c>
      <c r="F2128" t="s">
        <v>140</v>
      </c>
      <c r="G2128" t="s">
        <v>16</v>
      </c>
      <c r="H2128" t="s">
        <v>28</v>
      </c>
      <c r="I2128" t="s">
        <v>42</v>
      </c>
      <c r="J2128">
        <v>1.8275994E-2</v>
      </c>
      <c r="L2128">
        <v>115.2808</v>
      </c>
      <c r="M2128">
        <v>4.2</v>
      </c>
    </row>
    <row r="2129" spans="1:13" x14ac:dyDescent="0.3">
      <c r="A2129" t="s">
        <v>19</v>
      </c>
      <c r="B2129">
        <v>2128</v>
      </c>
      <c r="C2129" t="s">
        <v>946</v>
      </c>
      <c r="D2129" t="s">
        <v>30</v>
      </c>
      <c r="E2129">
        <v>2018</v>
      </c>
      <c r="F2129" t="s">
        <v>140</v>
      </c>
      <c r="G2129" t="s">
        <v>16</v>
      </c>
      <c r="H2129" t="s">
        <v>28</v>
      </c>
      <c r="I2129" t="s">
        <v>42</v>
      </c>
      <c r="J2129">
        <v>3.1069203E-2</v>
      </c>
      <c r="L2129">
        <v>179.6686</v>
      </c>
      <c r="M2129">
        <v>4.2</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4.2</v>
      </c>
    </row>
    <row r="2131" spans="1:13" x14ac:dyDescent="0.3">
      <c r="A2131" t="s">
        <v>19</v>
      </c>
      <c r="B2131">
        <v>2130</v>
      </c>
      <c r="C2131" t="s">
        <v>1146</v>
      </c>
      <c r="D2131" t="s">
        <v>26</v>
      </c>
      <c r="E2131">
        <v>2018</v>
      </c>
      <c r="F2131" t="s">
        <v>140</v>
      </c>
      <c r="G2131" t="s">
        <v>16</v>
      </c>
      <c r="H2131" t="s">
        <v>28</v>
      </c>
      <c r="I2131" t="s">
        <v>42</v>
      </c>
      <c r="J2131">
        <v>0</v>
      </c>
      <c r="L2131">
        <v>98.241</v>
      </c>
      <c r="M2131">
        <v>4.2</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4.2</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4.2</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4.2</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4.2</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4.2</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4.2</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4.2</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4.2</v>
      </c>
    </row>
    <row r="2140" spans="1:13" x14ac:dyDescent="0.3">
      <c r="A2140" t="s">
        <v>19</v>
      </c>
      <c r="B2140">
        <v>2139</v>
      </c>
      <c r="C2140" t="s">
        <v>283</v>
      </c>
      <c r="D2140" t="s">
        <v>34</v>
      </c>
      <c r="E2140">
        <v>2018</v>
      </c>
      <c r="F2140" t="s">
        <v>140</v>
      </c>
      <c r="G2140" t="s">
        <v>16</v>
      </c>
      <c r="H2140" t="s">
        <v>28</v>
      </c>
      <c r="I2140" t="s">
        <v>42</v>
      </c>
      <c r="J2140">
        <v>0.124448295</v>
      </c>
      <c r="L2140">
        <v>112.0518</v>
      </c>
      <c r="M2140">
        <v>4.2</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4.2</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4.2</v>
      </c>
    </row>
    <row r="2143" spans="1:13" x14ac:dyDescent="0.3">
      <c r="A2143" t="s">
        <v>12</v>
      </c>
      <c r="B2143">
        <v>2142</v>
      </c>
      <c r="C2143" t="s">
        <v>957</v>
      </c>
      <c r="D2143" t="s">
        <v>69</v>
      </c>
      <c r="E2143">
        <v>2018</v>
      </c>
      <c r="F2143" t="s">
        <v>140</v>
      </c>
      <c r="G2143" t="s">
        <v>16</v>
      </c>
      <c r="H2143" t="s">
        <v>28</v>
      </c>
      <c r="I2143" t="s">
        <v>42</v>
      </c>
      <c r="J2143">
        <v>0.168901843</v>
      </c>
      <c r="L2143">
        <v>43.4086</v>
      </c>
      <c r="M2143">
        <v>4.2</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4.2</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4.2</v>
      </c>
    </row>
    <row r="2146" spans="1:13" x14ac:dyDescent="0.3">
      <c r="A2146" t="s">
        <v>12</v>
      </c>
      <c r="B2146">
        <v>2145</v>
      </c>
      <c r="C2146" t="s">
        <v>274</v>
      </c>
      <c r="D2146" t="s">
        <v>14</v>
      </c>
      <c r="E2146">
        <v>2018</v>
      </c>
      <c r="F2146" t="s">
        <v>140</v>
      </c>
      <c r="G2146" t="s">
        <v>16</v>
      </c>
      <c r="H2146" t="s">
        <v>28</v>
      </c>
      <c r="I2146" t="s">
        <v>42</v>
      </c>
      <c r="J2146">
        <v>0.27873064199999997</v>
      </c>
      <c r="L2146">
        <v>63.2194</v>
      </c>
      <c r="M2146">
        <v>4.2</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4.2</v>
      </c>
    </row>
    <row r="2148" spans="1:13" x14ac:dyDescent="0.3">
      <c r="A2148" t="s">
        <v>12</v>
      </c>
      <c r="B2148">
        <v>2147</v>
      </c>
      <c r="C2148" t="s">
        <v>401</v>
      </c>
      <c r="D2148" t="s">
        <v>14</v>
      </c>
      <c r="E2148">
        <v>2018</v>
      </c>
      <c r="F2148" t="s">
        <v>140</v>
      </c>
      <c r="G2148" t="s">
        <v>16</v>
      </c>
      <c r="H2148" t="s">
        <v>28</v>
      </c>
      <c r="I2148" t="s">
        <v>42</v>
      </c>
      <c r="J2148">
        <v>0.11173569</v>
      </c>
      <c r="L2148">
        <v>115.9492</v>
      </c>
      <c r="M2148">
        <v>4.2</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4.2</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4.2</v>
      </c>
    </row>
    <row r="2151" spans="1:13" x14ac:dyDescent="0.3">
      <c r="A2151" t="s">
        <v>12</v>
      </c>
      <c r="B2151">
        <v>2150</v>
      </c>
      <c r="C2151" t="s">
        <v>1211</v>
      </c>
      <c r="D2151" t="s">
        <v>56</v>
      </c>
      <c r="E2151">
        <v>2018</v>
      </c>
      <c r="F2151" t="s">
        <v>140</v>
      </c>
      <c r="G2151" t="s">
        <v>16</v>
      </c>
      <c r="H2151" t="s">
        <v>28</v>
      </c>
      <c r="I2151" t="s">
        <v>42</v>
      </c>
      <c r="J2151">
        <v>0.133279499</v>
      </c>
      <c r="L2151">
        <v>112.6202</v>
      </c>
      <c r="M2151">
        <v>4.2</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4.2</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4.2</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4.2</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4.2</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4.2</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4.2</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4.2</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4.2</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4.2</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4.2</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4.2</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4.2</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4.2</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4.2</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4.2</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4.2</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4.2</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4.2</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4.2</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4.2</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4.2</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4.2</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4.2</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4.2</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4.2</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4.2</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4.2</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4.2</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4.2</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4.2</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4.2</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4.2</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4.2</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4.2</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4.2</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4.2</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4.2</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4.2</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4.2</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4.2</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4.2</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4.2</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4.2</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4.2</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4.2</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4.2</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4.2</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4.2</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4.2</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4.2</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4.2</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4.2</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4.2</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4.2</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4.2</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4.2</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v>2219</v>
      </c>
      <c r="C2220" t="s">
        <v>594</v>
      </c>
      <c r="D2220" t="s">
        <v>66</v>
      </c>
      <c r="E2220">
        <v>2015</v>
      </c>
      <c r="F2220" t="s">
        <v>35</v>
      </c>
      <c r="G2220" t="s">
        <v>36</v>
      </c>
      <c r="H2220" t="s">
        <v>17</v>
      </c>
      <c r="I2220" t="s">
        <v>18</v>
      </c>
      <c r="J2220">
        <v>0</v>
      </c>
      <c r="K2220">
        <v>5.5</v>
      </c>
      <c r="L2220">
        <v>103.1016</v>
      </c>
      <c r="M2220">
        <v>4.2</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4.2</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4.2</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4.2</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4.2</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4.2</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4.2</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4.2</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4.2</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4.2</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4.2</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4.2</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4.2</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4.2</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4.2</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4.2</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4.2</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4.2</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4.2</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4.2</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4.2</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4.2</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4.2</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4.2</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4.2</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4.2</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4.2</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4.2</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4.2</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4.2</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4.2</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4.2</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4.2</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4.2</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4.2</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4.2</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4.2</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4.2</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4.2</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4.2</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4.2</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4.2</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4.2</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4.2</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4.2</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4.2</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4.2</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4.2</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4.2</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4.2</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4.2</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4.2</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753</v>
      </c>
      <c r="D2550" t="s">
        <v>44</v>
      </c>
      <c r="E2550">
        <v>2022</v>
      </c>
      <c r="F2550" t="s">
        <v>22</v>
      </c>
      <c r="G2550" t="s">
        <v>23</v>
      </c>
      <c r="H2550" t="s">
        <v>17</v>
      </c>
      <c r="I2550" t="s">
        <v>24</v>
      </c>
      <c r="J2550">
        <v>0</v>
      </c>
      <c r="K2550">
        <v>20.5</v>
      </c>
      <c r="L2550">
        <v>37.119</v>
      </c>
      <c r="M2550">
        <v>4.2</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64</v>
      </c>
      <c r="D2578" t="s">
        <v>14</v>
      </c>
      <c r="E2578">
        <v>2022</v>
      </c>
      <c r="F2578" t="s">
        <v>22</v>
      </c>
      <c r="G2578" t="s">
        <v>23</v>
      </c>
      <c r="H2578" t="s">
        <v>17</v>
      </c>
      <c r="I2578" t="s">
        <v>24</v>
      </c>
      <c r="J2578">
        <v>0</v>
      </c>
      <c r="K2578">
        <v>15.1</v>
      </c>
      <c r="L2578">
        <v>63.7194</v>
      </c>
      <c r="M2578">
        <v>4.2</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4.2</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v>2594</v>
      </c>
      <c r="C2595" t="s">
        <v>201</v>
      </c>
      <c r="D2595" t="s">
        <v>97</v>
      </c>
      <c r="E2595">
        <v>2018</v>
      </c>
      <c r="F2595" t="s">
        <v>47</v>
      </c>
      <c r="G2595" t="s">
        <v>23</v>
      </c>
      <c r="H2595" t="s">
        <v>17</v>
      </c>
      <c r="I2595" t="s">
        <v>48</v>
      </c>
      <c r="J2595">
        <v>0.112718928</v>
      </c>
      <c r="L2595">
        <v>54.2956</v>
      </c>
      <c r="M2595">
        <v>4.2</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4.2</v>
      </c>
    </row>
    <row r="2597" spans="1:13" x14ac:dyDescent="0.3">
      <c r="A2597" t="s">
        <v>19</v>
      </c>
      <c r="B2597">
        <v>2596</v>
      </c>
      <c r="C2597" t="s">
        <v>780</v>
      </c>
      <c r="D2597" t="s">
        <v>97</v>
      </c>
      <c r="E2597">
        <v>2018</v>
      </c>
      <c r="F2597" t="s">
        <v>47</v>
      </c>
      <c r="G2597" t="s">
        <v>23</v>
      </c>
      <c r="H2597" t="s">
        <v>17</v>
      </c>
      <c r="I2597" t="s">
        <v>48</v>
      </c>
      <c r="J2597">
        <v>5.6389439999999999E-3</v>
      </c>
      <c r="L2597">
        <v>184.9924</v>
      </c>
      <c r="M2597">
        <v>4.2</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4.2</v>
      </c>
    </row>
    <row r="2599" spans="1:13" x14ac:dyDescent="0.3">
      <c r="A2599" t="s">
        <v>19</v>
      </c>
      <c r="B2599">
        <v>2598</v>
      </c>
      <c r="C2599" t="s">
        <v>634</v>
      </c>
      <c r="D2599" t="s">
        <v>97</v>
      </c>
      <c r="E2599">
        <v>2018</v>
      </c>
      <c r="F2599" t="s">
        <v>47</v>
      </c>
      <c r="G2599" t="s">
        <v>23</v>
      </c>
      <c r="H2599" t="s">
        <v>17</v>
      </c>
      <c r="I2599" t="s">
        <v>48</v>
      </c>
      <c r="J2599">
        <v>0.118783796</v>
      </c>
      <c r="L2599">
        <v>108.5596</v>
      </c>
      <c r="M2599">
        <v>4.2</v>
      </c>
    </row>
    <row r="2600" spans="1:13" x14ac:dyDescent="0.3">
      <c r="A2600" t="s">
        <v>19</v>
      </c>
      <c r="B2600">
        <v>2599</v>
      </c>
      <c r="C2600" t="s">
        <v>202</v>
      </c>
      <c r="D2600" t="s">
        <v>76</v>
      </c>
      <c r="E2600">
        <v>2018</v>
      </c>
      <c r="F2600" t="s">
        <v>47</v>
      </c>
      <c r="G2600" t="s">
        <v>23</v>
      </c>
      <c r="H2600" t="s">
        <v>17</v>
      </c>
      <c r="I2600" t="s">
        <v>48</v>
      </c>
      <c r="J2600">
        <v>2.1273160999999999E-2</v>
      </c>
      <c r="L2600">
        <v>229.1326</v>
      </c>
      <c r="M2600">
        <v>4.2</v>
      </c>
    </row>
    <row r="2601" spans="1:13" x14ac:dyDescent="0.3">
      <c r="A2601" t="s">
        <v>19</v>
      </c>
      <c r="B2601">
        <v>2600</v>
      </c>
      <c r="C2601" t="s">
        <v>68</v>
      </c>
      <c r="D2601" t="s">
        <v>69</v>
      </c>
      <c r="E2601">
        <v>2018</v>
      </c>
      <c r="F2601" t="s">
        <v>47</v>
      </c>
      <c r="G2601" t="s">
        <v>23</v>
      </c>
      <c r="H2601" t="s">
        <v>17</v>
      </c>
      <c r="I2601" t="s">
        <v>48</v>
      </c>
      <c r="J2601">
        <v>4.2037073000000001E-2</v>
      </c>
      <c r="L2601">
        <v>172.6764</v>
      </c>
      <c r="M2601">
        <v>4.2</v>
      </c>
    </row>
    <row r="2602" spans="1:13" x14ac:dyDescent="0.3">
      <c r="A2602" t="s">
        <v>19</v>
      </c>
      <c r="B2602">
        <v>2601</v>
      </c>
      <c r="C2602" t="s">
        <v>591</v>
      </c>
      <c r="D2602" t="s">
        <v>69</v>
      </c>
      <c r="E2602">
        <v>2018</v>
      </c>
      <c r="F2602" t="s">
        <v>47</v>
      </c>
      <c r="G2602" t="s">
        <v>23</v>
      </c>
      <c r="H2602" t="s">
        <v>17</v>
      </c>
      <c r="I2602" t="s">
        <v>48</v>
      </c>
      <c r="J2602">
        <v>3.0288215E-2</v>
      </c>
      <c r="L2602">
        <v>256.7672</v>
      </c>
      <c r="M2602">
        <v>4.2</v>
      </c>
    </row>
    <row r="2603" spans="1:13" x14ac:dyDescent="0.3">
      <c r="A2603" t="s">
        <v>19</v>
      </c>
      <c r="B2603">
        <v>2602</v>
      </c>
      <c r="C2603" t="s">
        <v>667</v>
      </c>
      <c r="D2603" t="s">
        <v>26</v>
      </c>
      <c r="E2603">
        <v>2018</v>
      </c>
      <c r="F2603" t="s">
        <v>47</v>
      </c>
      <c r="G2603" t="s">
        <v>23</v>
      </c>
      <c r="H2603" t="s">
        <v>17</v>
      </c>
      <c r="I2603" t="s">
        <v>48</v>
      </c>
      <c r="J2603">
        <v>8.2795450000000007E-2</v>
      </c>
      <c r="L2603">
        <v>245.8776</v>
      </c>
      <c r="M2603">
        <v>4.2</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4.2</v>
      </c>
    </row>
    <row r="2605" spans="1:13" x14ac:dyDescent="0.3">
      <c r="A2605" t="s">
        <v>19</v>
      </c>
      <c r="B2605">
        <v>2604</v>
      </c>
      <c r="C2605" t="s">
        <v>519</v>
      </c>
      <c r="D2605" t="s">
        <v>14</v>
      </c>
      <c r="E2605">
        <v>2018</v>
      </c>
      <c r="F2605" t="s">
        <v>47</v>
      </c>
      <c r="G2605" t="s">
        <v>23</v>
      </c>
      <c r="H2605" t="s">
        <v>17</v>
      </c>
      <c r="I2605" t="s">
        <v>48</v>
      </c>
      <c r="J2605">
        <v>7.5691712999999994E-2</v>
      </c>
      <c r="L2605">
        <v>98.241</v>
      </c>
      <c r="M2605">
        <v>4.2</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4.2</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4.2</v>
      </c>
    </row>
    <row r="2608" spans="1:13" x14ac:dyDescent="0.3">
      <c r="A2608" t="s">
        <v>19</v>
      </c>
      <c r="B2608">
        <v>2607</v>
      </c>
      <c r="C2608" t="s">
        <v>1239</v>
      </c>
      <c r="D2608" t="s">
        <v>14</v>
      </c>
      <c r="E2608">
        <v>2018</v>
      </c>
      <c r="F2608" t="s">
        <v>47</v>
      </c>
      <c r="G2608" t="s">
        <v>23</v>
      </c>
      <c r="H2608" t="s">
        <v>17</v>
      </c>
      <c r="I2608" t="s">
        <v>48</v>
      </c>
      <c r="J2608">
        <v>7.6483450999999994E-2</v>
      </c>
      <c r="L2608">
        <v>43.4086</v>
      </c>
      <c r="M2608">
        <v>4.2</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2018</v>
      </c>
      <c r="F2610" t="s">
        <v>47</v>
      </c>
      <c r="G2610" t="s">
        <v>23</v>
      </c>
      <c r="H2610" t="s">
        <v>17</v>
      </c>
      <c r="I2610" t="s">
        <v>48</v>
      </c>
      <c r="J2610">
        <v>8.5197180000000008E-3</v>
      </c>
      <c r="L2610">
        <v>116.9492</v>
      </c>
      <c r="M2610">
        <v>4.2</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4.2</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4.2</v>
      </c>
    </row>
    <row r="2613" spans="1:13" x14ac:dyDescent="0.3">
      <c r="A2613" t="s">
        <v>19</v>
      </c>
      <c r="B2613">
        <v>2612</v>
      </c>
      <c r="C2613" t="s">
        <v>1086</v>
      </c>
      <c r="D2613" t="s">
        <v>21</v>
      </c>
      <c r="E2613">
        <v>2018</v>
      </c>
      <c r="F2613" t="s">
        <v>47</v>
      </c>
      <c r="G2613" t="s">
        <v>23</v>
      </c>
      <c r="H2613" t="s">
        <v>17</v>
      </c>
      <c r="I2613" t="s">
        <v>48</v>
      </c>
      <c r="J2613">
        <v>7.0791390999999995E-2</v>
      </c>
      <c r="L2613">
        <v>46.4086</v>
      </c>
      <c r="M2613">
        <v>4.2</v>
      </c>
    </row>
    <row r="2614" spans="1:13" x14ac:dyDescent="0.3">
      <c r="A2614" t="s">
        <v>19</v>
      </c>
      <c r="B2614">
        <v>2613</v>
      </c>
      <c r="C2614" t="s">
        <v>299</v>
      </c>
      <c r="D2614" t="s">
        <v>21</v>
      </c>
      <c r="E2614">
        <v>2018</v>
      </c>
      <c r="F2614" t="s">
        <v>47</v>
      </c>
      <c r="G2614" t="s">
        <v>23</v>
      </c>
      <c r="H2614" t="s">
        <v>17</v>
      </c>
      <c r="I2614" t="s">
        <v>48</v>
      </c>
      <c r="J2614">
        <v>8.9343433E-2</v>
      </c>
      <c r="L2614">
        <v>157.3604</v>
      </c>
      <c r="M2614">
        <v>4.2</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4.2</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4.2</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4.2</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4.2</v>
      </c>
    </row>
    <row r="2619" spans="1:13" x14ac:dyDescent="0.3">
      <c r="A2619" t="s">
        <v>19</v>
      </c>
      <c r="B2619">
        <v>2618</v>
      </c>
      <c r="C2619" t="s">
        <v>1117</v>
      </c>
      <c r="D2619" t="s">
        <v>44</v>
      </c>
      <c r="E2619">
        <v>2018</v>
      </c>
      <c r="F2619" t="s">
        <v>47</v>
      </c>
      <c r="G2619" t="s">
        <v>23</v>
      </c>
      <c r="H2619" t="s">
        <v>17</v>
      </c>
      <c r="I2619" t="s">
        <v>48</v>
      </c>
      <c r="J2619">
        <v>0.124110734</v>
      </c>
      <c r="L2619">
        <v>111.7544</v>
      </c>
      <c r="M2619">
        <v>4.2</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4.2</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4.2</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4.2</v>
      </c>
    </row>
    <row r="2623" spans="1:13" x14ac:dyDescent="0.3">
      <c r="A2623" t="s">
        <v>19</v>
      </c>
      <c r="B2623">
        <v>2622</v>
      </c>
      <c r="C2623" t="s">
        <v>1355</v>
      </c>
      <c r="D2623" t="s">
        <v>50</v>
      </c>
      <c r="E2623">
        <v>2018</v>
      </c>
      <c r="F2623" t="s">
        <v>47</v>
      </c>
      <c r="G2623" t="s">
        <v>23</v>
      </c>
      <c r="H2623" t="s">
        <v>17</v>
      </c>
      <c r="I2623" t="s">
        <v>48</v>
      </c>
      <c r="J2623">
        <v>0</v>
      </c>
      <c r="L2623">
        <v>119.8124</v>
      </c>
      <c r="M2623">
        <v>4.2</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4.2</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4.2</v>
      </c>
    </row>
    <row r="2626" spans="1:13" x14ac:dyDescent="0.3">
      <c r="A2626" t="s">
        <v>19</v>
      </c>
      <c r="B2626">
        <v>2625</v>
      </c>
      <c r="C2626" t="s">
        <v>120</v>
      </c>
      <c r="D2626" t="s">
        <v>50</v>
      </c>
      <c r="E2626">
        <v>2018</v>
      </c>
      <c r="F2626" t="s">
        <v>47</v>
      </c>
      <c r="G2626" t="s">
        <v>23</v>
      </c>
      <c r="H2626" t="s">
        <v>17</v>
      </c>
      <c r="I2626" t="s">
        <v>48</v>
      </c>
      <c r="J2626">
        <v>0</v>
      </c>
      <c r="L2626">
        <v>240.62219999999999</v>
      </c>
      <c r="M2626">
        <v>4.2</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4.2</v>
      </c>
    </row>
    <row r="2628" spans="1:13" x14ac:dyDescent="0.3">
      <c r="A2628" t="s">
        <v>19</v>
      </c>
      <c r="B2628">
        <v>2627</v>
      </c>
      <c r="C2628" t="s">
        <v>919</v>
      </c>
      <c r="D2628" t="s">
        <v>50</v>
      </c>
      <c r="E2628">
        <v>2018</v>
      </c>
      <c r="F2628" t="s">
        <v>47</v>
      </c>
      <c r="G2628" t="s">
        <v>23</v>
      </c>
      <c r="H2628" t="s">
        <v>17</v>
      </c>
      <c r="I2628" t="s">
        <v>48</v>
      </c>
      <c r="J2628">
        <v>1.8942606000000001E-2</v>
      </c>
      <c r="L2628">
        <v>236.0248</v>
      </c>
      <c r="M2628">
        <v>4.2</v>
      </c>
    </row>
    <row r="2629" spans="1:13" x14ac:dyDescent="0.3">
      <c r="A2629" t="s">
        <v>19</v>
      </c>
      <c r="B2629">
        <v>2628</v>
      </c>
      <c r="C2629" t="s">
        <v>180</v>
      </c>
      <c r="D2629" t="s">
        <v>50</v>
      </c>
      <c r="E2629">
        <v>2018</v>
      </c>
      <c r="F2629" t="s">
        <v>47</v>
      </c>
      <c r="G2629" t="s">
        <v>23</v>
      </c>
      <c r="H2629" t="s">
        <v>17</v>
      </c>
      <c r="I2629" t="s">
        <v>48</v>
      </c>
      <c r="J2629">
        <v>5.1924192000000001E-2</v>
      </c>
      <c r="L2629">
        <v>121.0072</v>
      </c>
      <c r="M2629">
        <v>4.2</v>
      </c>
    </row>
    <row r="2630" spans="1:13" x14ac:dyDescent="0.3">
      <c r="A2630" t="s">
        <v>19</v>
      </c>
      <c r="B2630">
        <v>2629</v>
      </c>
      <c r="C2630" t="s">
        <v>33</v>
      </c>
      <c r="D2630" t="s">
        <v>34</v>
      </c>
      <c r="E2630">
        <v>2018</v>
      </c>
      <c r="F2630" t="s">
        <v>47</v>
      </c>
      <c r="G2630" t="s">
        <v>23</v>
      </c>
      <c r="H2630" t="s">
        <v>17</v>
      </c>
      <c r="I2630" t="s">
        <v>48</v>
      </c>
      <c r="J2630">
        <v>3.3737272999999998E-2</v>
      </c>
      <c r="L2630">
        <v>56.6614</v>
      </c>
      <c r="M2630">
        <v>4.2</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4.2</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4.2</v>
      </c>
    </row>
    <row r="2633" spans="1:13" x14ac:dyDescent="0.3">
      <c r="A2633" t="s">
        <v>12</v>
      </c>
      <c r="B2633">
        <v>2632</v>
      </c>
      <c r="C2633" t="s">
        <v>553</v>
      </c>
      <c r="D2633" t="s">
        <v>97</v>
      </c>
      <c r="E2633">
        <v>2018</v>
      </c>
      <c r="F2633" t="s">
        <v>47</v>
      </c>
      <c r="G2633" t="s">
        <v>23</v>
      </c>
      <c r="H2633" t="s">
        <v>17</v>
      </c>
      <c r="I2633" t="s">
        <v>48</v>
      </c>
      <c r="J2633">
        <v>5.3576850000000002E-2</v>
      </c>
      <c r="L2633">
        <v>122.2072</v>
      </c>
      <c r="M2633">
        <v>4.2</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4.2</v>
      </c>
    </row>
    <row r="2635" spans="1:13" x14ac:dyDescent="0.3">
      <c r="A2635" t="s">
        <v>12</v>
      </c>
      <c r="B2635">
        <v>2634</v>
      </c>
      <c r="C2635" t="s">
        <v>122</v>
      </c>
      <c r="D2635" t="s">
        <v>97</v>
      </c>
      <c r="E2635">
        <v>2018</v>
      </c>
      <c r="F2635" t="s">
        <v>47</v>
      </c>
      <c r="G2635" t="s">
        <v>23</v>
      </c>
      <c r="H2635" t="s">
        <v>17</v>
      </c>
      <c r="I2635" t="s">
        <v>48</v>
      </c>
      <c r="J2635">
        <v>7.5384242000000004E-2</v>
      </c>
      <c r="L2635">
        <v>262.7568</v>
      </c>
      <c r="M2635">
        <v>4.2</v>
      </c>
    </row>
    <row r="2636" spans="1:13" x14ac:dyDescent="0.3">
      <c r="A2636" t="s">
        <v>12</v>
      </c>
      <c r="B2636">
        <v>2635</v>
      </c>
      <c r="C2636" t="s">
        <v>1140</v>
      </c>
      <c r="D2636" t="s">
        <v>59</v>
      </c>
      <c r="E2636">
        <v>2018</v>
      </c>
      <c r="F2636" t="s">
        <v>47</v>
      </c>
      <c r="G2636" t="s">
        <v>23</v>
      </c>
      <c r="H2636" t="s">
        <v>17</v>
      </c>
      <c r="I2636" t="s">
        <v>48</v>
      </c>
      <c r="J2636">
        <v>2.923013E-2</v>
      </c>
      <c r="L2636">
        <v>189.4556</v>
      </c>
      <c r="M2636">
        <v>4.2</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4.2</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4.2</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4.2</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4.2</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4.2</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4.2</v>
      </c>
    </row>
    <row r="2643" spans="1:13" x14ac:dyDescent="0.3">
      <c r="A2643" t="s">
        <v>12</v>
      </c>
      <c r="B2643">
        <v>2642</v>
      </c>
      <c r="C2643" t="s">
        <v>1363</v>
      </c>
      <c r="D2643" t="s">
        <v>26</v>
      </c>
      <c r="E2643">
        <v>2018</v>
      </c>
      <c r="F2643" t="s">
        <v>47</v>
      </c>
      <c r="G2643" t="s">
        <v>23</v>
      </c>
      <c r="H2643" t="s">
        <v>17</v>
      </c>
      <c r="I2643" t="s">
        <v>48</v>
      </c>
      <c r="J2643">
        <v>0</v>
      </c>
      <c r="L2643">
        <v>130.53100000000001</v>
      </c>
      <c r="M2643">
        <v>4.2</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4.2</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4.2</v>
      </c>
    </row>
    <row r="2646" spans="1:13" x14ac:dyDescent="0.3">
      <c r="A2646" t="s">
        <v>12</v>
      </c>
      <c r="B2646">
        <v>2645</v>
      </c>
      <c r="C2646" t="s">
        <v>616</v>
      </c>
      <c r="D2646" t="s">
        <v>50</v>
      </c>
      <c r="E2646">
        <v>2018</v>
      </c>
      <c r="F2646" t="s">
        <v>47</v>
      </c>
      <c r="G2646" t="s">
        <v>23</v>
      </c>
      <c r="H2646" t="s">
        <v>17</v>
      </c>
      <c r="I2646" t="s">
        <v>48</v>
      </c>
      <c r="J2646">
        <v>8.9512542E-2</v>
      </c>
      <c r="L2646">
        <v>133.1626</v>
      </c>
      <c r="M2646">
        <v>4.2</v>
      </c>
    </row>
    <row r="2647" spans="1:13" x14ac:dyDescent="0.3">
      <c r="A2647" t="s">
        <v>12</v>
      </c>
      <c r="B2647">
        <v>2646</v>
      </c>
      <c r="C2647" t="s">
        <v>321</v>
      </c>
      <c r="D2647" t="s">
        <v>50</v>
      </c>
      <c r="E2647">
        <v>2018</v>
      </c>
      <c r="F2647" t="s">
        <v>47</v>
      </c>
      <c r="G2647" t="s">
        <v>23</v>
      </c>
      <c r="H2647" t="s">
        <v>17</v>
      </c>
      <c r="I2647" t="s">
        <v>48</v>
      </c>
      <c r="J2647">
        <v>0.104786172</v>
      </c>
      <c r="L2647">
        <v>172.2764</v>
      </c>
      <c r="M2647">
        <v>4.2</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4.2</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4.2</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726</v>
      </c>
      <c r="D2651" t="s">
        <v>97</v>
      </c>
      <c r="E2651">
        <v>2018</v>
      </c>
      <c r="F2651" t="s">
        <v>47</v>
      </c>
      <c r="G2651" t="s">
        <v>23</v>
      </c>
      <c r="H2651" t="s">
        <v>17</v>
      </c>
      <c r="I2651" t="s">
        <v>48</v>
      </c>
      <c r="J2651">
        <v>3.5399923E-2</v>
      </c>
      <c r="L2651">
        <v>144.5444</v>
      </c>
      <c r="M2651">
        <v>4.0999999999999996</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4.0999999999999996</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360</v>
      </c>
      <c r="D2667" t="s">
        <v>30</v>
      </c>
      <c r="E2667">
        <v>2018</v>
      </c>
      <c r="F2667" t="s">
        <v>47</v>
      </c>
      <c r="G2667" t="s">
        <v>23</v>
      </c>
      <c r="H2667" t="s">
        <v>17</v>
      </c>
      <c r="I2667" t="s">
        <v>48</v>
      </c>
      <c r="J2667">
        <v>2.747716E-2</v>
      </c>
      <c r="L2667">
        <v>87.985600000000005</v>
      </c>
      <c r="M2667">
        <v>4.0999999999999996</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4.0999999999999996</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4.0999999999999996</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4.0999999999999996</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124</v>
      </c>
      <c r="D2684" t="s">
        <v>59</v>
      </c>
      <c r="E2684">
        <v>2018</v>
      </c>
      <c r="F2684" t="s">
        <v>47</v>
      </c>
      <c r="G2684" t="s">
        <v>23</v>
      </c>
      <c r="H2684" t="s">
        <v>17</v>
      </c>
      <c r="I2684" t="s">
        <v>48</v>
      </c>
      <c r="J2684">
        <v>3.0118338000000001E-2</v>
      </c>
      <c r="L2684">
        <v>248.8092</v>
      </c>
      <c r="M2684">
        <v>4.0999999999999996</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4.0999999999999996</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4.0999999999999996</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4.0999999999999996</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4.0999999999999996</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313</v>
      </c>
      <c r="D2707" t="s">
        <v>97</v>
      </c>
      <c r="E2707">
        <v>2018</v>
      </c>
      <c r="F2707" t="s">
        <v>47</v>
      </c>
      <c r="G2707" t="s">
        <v>23</v>
      </c>
      <c r="H2707" t="s">
        <v>17</v>
      </c>
      <c r="I2707" t="s">
        <v>48</v>
      </c>
      <c r="J2707">
        <v>5.8446423999999997E-2</v>
      </c>
      <c r="L2707">
        <v>172.1422</v>
      </c>
      <c r="M2707">
        <v>4.0999999999999996</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4.0999999999999996</v>
      </c>
    </row>
    <row r="2754" spans="1:13" x14ac:dyDescent="0.3">
      <c r="A2754" t="s">
        <v>19</v>
      </c>
      <c r="B2754">
        <v>2753</v>
      </c>
      <c r="C2754" t="s">
        <v>1383</v>
      </c>
      <c r="D2754" t="s">
        <v>30</v>
      </c>
      <c r="E2754">
        <v>2018</v>
      </c>
      <c r="F2754" t="s">
        <v>140</v>
      </c>
      <c r="G2754" t="s">
        <v>16</v>
      </c>
      <c r="H2754" t="s">
        <v>28</v>
      </c>
      <c r="I2754" t="s">
        <v>42</v>
      </c>
      <c r="J2754">
        <v>0.112161697</v>
      </c>
      <c r="L2754">
        <v>154.4682</v>
      </c>
      <c r="M2754">
        <v>4.0999999999999996</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4.0999999999999996</v>
      </c>
    </row>
    <row r="2756" spans="1:13" x14ac:dyDescent="0.3">
      <c r="A2756" t="s">
        <v>19</v>
      </c>
      <c r="B2756">
        <v>2755</v>
      </c>
      <c r="C2756" t="s">
        <v>971</v>
      </c>
      <c r="D2756" t="s">
        <v>26</v>
      </c>
      <c r="E2756">
        <v>2018</v>
      </c>
      <c r="F2756" t="s">
        <v>140</v>
      </c>
      <c r="G2756" t="s">
        <v>16</v>
      </c>
      <c r="H2756" t="s">
        <v>28</v>
      </c>
      <c r="I2756" t="s">
        <v>42</v>
      </c>
      <c r="J2756">
        <v>0.12658509500000001</v>
      </c>
      <c r="L2756">
        <v>122.4098</v>
      </c>
      <c r="M2756">
        <v>4.0999999999999996</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4.0999999999999996</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4.0999999999999996</v>
      </c>
    </row>
    <row r="2759" spans="1:13" x14ac:dyDescent="0.3">
      <c r="A2759" t="s">
        <v>19</v>
      </c>
      <c r="B2759">
        <v>2758</v>
      </c>
      <c r="C2759" t="s">
        <v>1148</v>
      </c>
      <c r="D2759" t="s">
        <v>21</v>
      </c>
      <c r="E2759">
        <v>2018</v>
      </c>
      <c r="F2759" t="s">
        <v>140</v>
      </c>
      <c r="G2759" t="s">
        <v>16</v>
      </c>
      <c r="H2759" t="s">
        <v>28</v>
      </c>
      <c r="I2759" t="s">
        <v>42</v>
      </c>
      <c r="J2759">
        <v>0.121765124</v>
      </c>
      <c r="L2759">
        <v>264.1884</v>
      </c>
      <c r="M2759">
        <v>4.0999999999999996</v>
      </c>
    </row>
    <row r="2760" spans="1:13" x14ac:dyDescent="0.3">
      <c r="A2760" t="s">
        <v>19</v>
      </c>
      <c r="B2760">
        <v>2759</v>
      </c>
      <c r="C2760" t="s">
        <v>1384</v>
      </c>
      <c r="D2760" t="s">
        <v>21</v>
      </c>
      <c r="E2760">
        <v>2018</v>
      </c>
      <c r="F2760" t="s">
        <v>140</v>
      </c>
      <c r="G2760" t="s">
        <v>16</v>
      </c>
      <c r="H2760" t="s">
        <v>28</v>
      </c>
      <c r="I2760" t="s">
        <v>42</v>
      </c>
      <c r="J2760">
        <v>0.10178199</v>
      </c>
      <c r="L2760">
        <v>104.699</v>
      </c>
      <c r="M2760">
        <v>4.0999999999999996</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4.0999999999999996</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4.0999999999999996</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4.0999999999999996</v>
      </c>
    </row>
    <row r="2764" spans="1:13" x14ac:dyDescent="0.3">
      <c r="A2764" t="s">
        <v>19</v>
      </c>
      <c r="B2764">
        <v>2763</v>
      </c>
      <c r="C2764" t="s">
        <v>1387</v>
      </c>
      <c r="D2764" t="s">
        <v>44</v>
      </c>
      <c r="E2764">
        <v>2018</v>
      </c>
      <c r="F2764" t="s">
        <v>140</v>
      </c>
      <c r="G2764" t="s">
        <v>16</v>
      </c>
      <c r="H2764" t="s">
        <v>28</v>
      </c>
      <c r="I2764" t="s">
        <v>42</v>
      </c>
      <c r="J2764">
        <v>0.102371638</v>
      </c>
      <c r="L2764">
        <v>221.2456</v>
      </c>
      <c r="M2764">
        <v>4.0999999999999996</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4.0999999999999996</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4.0999999999999996</v>
      </c>
    </row>
    <row r="2767" spans="1:13" x14ac:dyDescent="0.3">
      <c r="A2767" t="s">
        <v>19</v>
      </c>
      <c r="B2767">
        <v>2766</v>
      </c>
      <c r="C2767" t="s">
        <v>418</v>
      </c>
      <c r="D2767" t="s">
        <v>50</v>
      </c>
      <c r="E2767">
        <v>2018</v>
      </c>
      <c r="F2767" t="s">
        <v>140</v>
      </c>
      <c r="G2767" t="s">
        <v>16</v>
      </c>
      <c r="H2767" t="s">
        <v>28</v>
      </c>
      <c r="I2767" t="s">
        <v>42</v>
      </c>
      <c r="J2767">
        <v>0.24732103899999999</v>
      </c>
      <c r="L2767">
        <v>152.3998</v>
      </c>
      <c r="M2767">
        <v>4.0999999999999996</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4.0999999999999996</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4.0999999999999996</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4.0999999999999996</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4.0999999999999996</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4.0999999999999996</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4.0999999999999996</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4.0999999999999996</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4.0999999999999996</v>
      </c>
    </row>
    <row r="2776" spans="1:13" x14ac:dyDescent="0.3">
      <c r="A2776" t="s">
        <v>12</v>
      </c>
      <c r="B2776">
        <v>2775</v>
      </c>
      <c r="C2776" t="s">
        <v>251</v>
      </c>
      <c r="D2776" t="s">
        <v>30</v>
      </c>
      <c r="E2776">
        <v>2018</v>
      </c>
      <c r="F2776" t="s">
        <v>140</v>
      </c>
      <c r="G2776" t="s">
        <v>16</v>
      </c>
      <c r="H2776" t="s">
        <v>28</v>
      </c>
      <c r="I2776" t="s">
        <v>42</v>
      </c>
      <c r="J2776">
        <v>5.6338482000000002E-2</v>
      </c>
      <c r="L2776">
        <v>184.624</v>
      </c>
      <c r="M2776">
        <v>4.0999999999999996</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4.0999999999999996</v>
      </c>
    </row>
    <row r="2778" spans="1:13" x14ac:dyDescent="0.3">
      <c r="A2778" t="s">
        <v>12</v>
      </c>
      <c r="B2778">
        <v>2777</v>
      </c>
      <c r="C2778" t="s">
        <v>255</v>
      </c>
      <c r="D2778" t="s">
        <v>69</v>
      </c>
      <c r="E2778">
        <v>2018</v>
      </c>
      <c r="F2778" t="s">
        <v>140</v>
      </c>
      <c r="G2778" t="s">
        <v>16</v>
      </c>
      <c r="H2778" t="s">
        <v>28</v>
      </c>
      <c r="I2778" t="s">
        <v>42</v>
      </c>
      <c r="J2778">
        <v>0.1107011</v>
      </c>
      <c r="L2778">
        <v>88.685599999999994</v>
      </c>
      <c r="M2778">
        <v>4.0999999999999996</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4.0999999999999996</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4.0999999999999996</v>
      </c>
    </row>
    <row r="2781" spans="1:13" x14ac:dyDescent="0.3">
      <c r="A2781" t="s">
        <v>12</v>
      </c>
      <c r="B2781">
        <v>2780</v>
      </c>
      <c r="C2781" t="s">
        <v>964</v>
      </c>
      <c r="D2781" t="s">
        <v>14</v>
      </c>
      <c r="E2781">
        <v>2018</v>
      </c>
      <c r="F2781" t="s">
        <v>140</v>
      </c>
      <c r="G2781" t="s">
        <v>16</v>
      </c>
      <c r="H2781" t="s">
        <v>28</v>
      </c>
      <c r="I2781" t="s">
        <v>42</v>
      </c>
      <c r="J2781">
        <v>0.10229590399999999</v>
      </c>
      <c r="L2781">
        <v>162.3552</v>
      </c>
      <c r="M2781">
        <v>4.0999999999999996</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4.0999999999999996</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4.0999999999999996</v>
      </c>
    </row>
    <row r="2784" spans="1:13" x14ac:dyDescent="0.3">
      <c r="A2784" t="s">
        <v>12</v>
      </c>
      <c r="B2784">
        <v>2783</v>
      </c>
      <c r="C2784" t="s">
        <v>1390</v>
      </c>
      <c r="D2784" t="s">
        <v>50</v>
      </c>
      <c r="E2784">
        <v>2018</v>
      </c>
      <c r="F2784" t="s">
        <v>140</v>
      </c>
      <c r="G2784" t="s">
        <v>16</v>
      </c>
      <c r="H2784" t="s">
        <v>28</v>
      </c>
      <c r="I2784" t="s">
        <v>42</v>
      </c>
      <c r="J2784">
        <v>0</v>
      </c>
      <c r="L2784">
        <v>58.758800000000001</v>
      </c>
      <c r="M2784">
        <v>4.0999999999999996</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4.0999999999999996</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4.0999999999999996</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4.0999999999999996</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4.0999999999999996</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4.0999999999999996</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4.0999999999999996</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4.0999999999999996</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4.0999999999999996</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4.0999999999999996</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4.0999999999999996</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4.0999999999999996</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4.0999999999999996</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4.0999999999999996</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4.0999999999999996</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4.0999999999999996</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4.0999999999999996</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4.0999999999999996</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4.0999999999999996</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4.0999999999999996</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4.0999999999999996</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4.0999999999999996</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4.0999999999999996</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4.0999999999999996</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4.0999999999999996</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4.0999999999999996</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412</v>
      </c>
      <c r="D3041" t="s">
        <v>21</v>
      </c>
      <c r="E3041">
        <v>2014</v>
      </c>
      <c r="F3041" t="s">
        <v>31</v>
      </c>
      <c r="G3041" t="s">
        <v>23</v>
      </c>
      <c r="H3041" t="s">
        <v>32</v>
      </c>
      <c r="I3041" t="s">
        <v>18</v>
      </c>
      <c r="J3041">
        <v>0</v>
      </c>
      <c r="K3041">
        <v>20</v>
      </c>
      <c r="L3041">
        <v>110.2544</v>
      </c>
      <c r="M3041">
        <v>4.0999999999999996</v>
      </c>
    </row>
    <row r="3042" spans="1:13" x14ac:dyDescent="0.3">
      <c r="A3042" t="s">
        <v>19</v>
      </c>
      <c r="B3042">
        <v>3041</v>
      </c>
      <c r="C3042" t="s">
        <v>146</v>
      </c>
      <c r="D3042" t="s">
        <v>21</v>
      </c>
      <c r="E3042">
        <v>2014</v>
      </c>
      <c r="F3042" t="s">
        <v>31</v>
      </c>
      <c r="G3042" t="s">
        <v>23</v>
      </c>
      <c r="H3042" t="s">
        <v>32</v>
      </c>
      <c r="I3042" t="s">
        <v>18</v>
      </c>
      <c r="J3042">
        <v>0</v>
      </c>
      <c r="K3042">
        <v>20.75</v>
      </c>
      <c r="L3042">
        <v>149.4734</v>
      </c>
      <c r="M3042">
        <v>4.0999999999999996</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4.0999999999999996</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4.0999999999999996</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4.0999999999999996</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4.0999999999999996</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4.0999999999999996</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4.0999999999999996</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4.0999999999999996</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4.0999999999999996</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4.0999999999999996</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4.0999999999999996</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4.0999999999999996</v>
      </c>
    </row>
    <row r="3065" spans="1:13" x14ac:dyDescent="0.3">
      <c r="A3065" t="s">
        <v>12</v>
      </c>
      <c r="B3065">
        <v>3064</v>
      </c>
      <c r="C3065" t="s">
        <v>273</v>
      </c>
      <c r="D3065" t="s">
        <v>14</v>
      </c>
      <c r="E3065">
        <v>2014</v>
      </c>
      <c r="F3065" t="s">
        <v>31</v>
      </c>
      <c r="G3065" t="s">
        <v>23</v>
      </c>
      <c r="H3065" t="s">
        <v>32</v>
      </c>
      <c r="I3065" t="s">
        <v>18</v>
      </c>
      <c r="J3065">
        <v>0</v>
      </c>
      <c r="K3065">
        <v>8.77</v>
      </c>
      <c r="L3065">
        <v>173.6422</v>
      </c>
      <c r="M3065">
        <v>4.0999999999999996</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4.0999999999999996</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4.0999999999999996</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4.0999999999999996</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4.0999999999999996</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4.0999999999999996</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4.0999999999999996</v>
      </c>
    </row>
    <row r="3130" spans="1:13" x14ac:dyDescent="0.3">
      <c r="A3130" t="s">
        <v>19</v>
      </c>
      <c r="B3130">
        <v>3129</v>
      </c>
      <c r="C3130" t="s">
        <v>997</v>
      </c>
      <c r="D3130" t="s">
        <v>44</v>
      </c>
      <c r="E3130">
        <v>2018</v>
      </c>
      <c r="F3130" t="s">
        <v>47</v>
      </c>
      <c r="G3130" t="s">
        <v>23</v>
      </c>
      <c r="H3130" t="s">
        <v>17</v>
      </c>
      <c r="I3130" t="s">
        <v>48</v>
      </c>
      <c r="J3130">
        <v>2.6058181E-2</v>
      </c>
      <c r="L3130">
        <v>121.9098</v>
      </c>
      <c r="M3130">
        <v>4.0999999999999996</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4.0999999999999996</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4.0999999999999996</v>
      </c>
    </row>
    <row r="3133" spans="1:13" x14ac:dyDescent="0.3">
      <c r="A3133" t="s">
        <v>19</v>
      </c>
      <c r="B3133">
        <v>3132</v>
      </c>
      <c r="C3133" t="s">
        <v>1223</v>
      </c>
      <c r="D3133" t="s">
        <v>30</v>
      </c>
      <c r="E3133">
        <v>2018</v>
      </c>
      <c r="F3133" t="s">
        <v>47</v>
      </c>
      <c r="G3133" t="s">
        <v>23</v>
      </c>
      <c r="H3133" t="s">
        <v>17</v>
      </c>
      <c r="I3133" t="s">
        <v>48</v>
      </c>
      <c r="J3133">
        <v>1.3199737E-2</v>
      </c>
      <c r="L3133">
        <v>108.9254</v>
      </c>
      <c r="M3133">
        <v>4.0999999999999996</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4.0999999999999996</v>
      </c>
    </row>
    <row r="3135" spans="1:13" x14ac:dyDescent="0.3">
      <c r="A3135" t="s">
        <v>19</v>
      </c>
      <c r="B3135">
        <v>3134</v>
      </c>
      <c r="C3135" t="s">
        <v>1077</v>
      </c>
      <c r="D3135" t="s">
        <v>30</v>
      </c>
      <c r="E3135">
        <v>2018</v>
      </c>
      <c r="F3135" t="s">
        <v>47</v>
      </c>
      <c r="G3135" t="s">
        <v>23</v>
      </c>
      <c r="H3135" t="s">
        <v>17</v>
      </c>
      <c r="I3135" t="s">
        <v>48</v>
      </c>
      <c r="J3135">
        <v>3.1946637999999999E-2</v>
      </c>
      <c r="L3135">
        <v>51.6008</v>
      </c>
      <c r="M3135">
        <v>4.0999999999999996</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4.0999999999999996</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4.0999999999999996</v>
      </c>
    </row>
    <row r="3138" spans="1:13" x14ac:dyDescent="0.3">
      <c r="A3138" t="s">
        <v>19</v>
      </c>
      <c r="B3138">
        <v>3137</v>
      </c>
      <c r="C3138" t="s">
        <v>105</v>
      </c>
      <c r="D3138" t="s">
        <v>14</v>
      </c>
      <c r="E3138">
        <v>2018</v>
      </c>
      <c r="F3138" t="s">
        <v>47</v>
      </c>
      <c r="G3138" t="s">
        <v>23</v>
      </c>
      <c r="H3138" t="s">
        <v>17</v>
      </c>
      <c r="I3138" t="s">
        <v>48</v>
      </c>
      <c r="J3138">
        <v>3.1131454999999999E-2</v>
      </c>
      <c r="L3138">
        <v>111.0228</v>
      </c>
      <c r="M3138">
        <v>4.0999999999999996</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4.0999999999999996</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4.0999999999999996</v>
      </c>
    </row>
    <row r="3141" spans="1:13" x14ac:dyDescent="0.3">
      <c r="A3141" t="s">
        <v>19</v>
      </c>
      <c r="B3141">
        <v>3140</v>
      </c>
      <c r="C3141" t="s">
        <v>297</v>
      </c>
      <c r="D3141" t="s">
        <v>21</v>
      </c>
      <c r="E3141">
        <v>2018</v>
      </c>
      <c r="F3141" t="s">
        <v>47</v>
      </c>
      <c r="G3141" t="s">
        <v>23</v>
      </c>
      <c r="H3141" t="s">
        <v>17</v>
      </c>
      <c r="I3141" t="s">
        <v>48</v>
      </c>
      <c r="J3141">
        <v>9.2433518000000006E-2</v>
      </c>
      <c r="L3141">
        <v>101.6674</v>
      </c>
      <c r="M3141">
        <v>4.0999999999999996</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4.0999999999999996</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4.0999999999999996</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4.0999999999999996</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4.0999999999999996</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4.0999999999999996</v>
      </c>
    </row>
    <row r="3147" spans="1:13" x14ac:dyDescent="0.3">
      <c r="A3147" t="s">
        <v>19</v>
      </c>
      <c r="B3147">
        <v>3146</v>
      </c>
      <c r="C3147" t="s">
        <v>790</v>
      </c>
      <c r="D3147" t="s">
        <v>66</v>
      </c>
      <c r="E3147">
        <v>2018</v>
      </c>
      <c r="F3147" t="s">
        <v>47</v>
      </c>
      <c r="G3147" t="s">
        <v>23</v>
      </c>
      <c r="H3147" t="s">
        <v>17</v>
      </c>
      <c r="I3147" t="s">
        <v>48</v>
      </c>
      <c r="J3147">
        <v>0.119698523</v>
      </c>
      <c r="L3147">
        <v>143.047</v>
      </c>
      <c r="M3147">
        <v>4.0999999999999996</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4.0999999999999996</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4.0999999999999996</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4.0999999999999996</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4.0999999999999996</v>
      </c>
    </row>
    <row r="3152" spans="1:13" x14ac:dyDescent="0.3">
      <c r="A3152" t="s">
        <v>19</v>
      </c>
      <c r="B3152">
        <v>3151</v>
      </c>
      <c r="C3152" t="s">
        <v>1410</v>
      </c>
      <c r="D3152" t="s">
        <v>34</v>
      </c>
      <c r="E3152">
        <v>2018</v>
      </c>
      <c r="F3152" t="s">
        <v>47</v>
      </c>
      <c r="G3152" t="s">
        <v>23</v>
      </c>
      <c r="H3152" t="s">
        <v>17</v>
      </c>
      <c r="I3152" t="s">
        <v>48</v>
      </c>
      <c r="J3152">
        <v>0</v>
      </c>
      <c r="L3152">
        <v>87.388199999999998</v>
      </c>
      <c r="M3152">
        <v>4.0999999999999996</v>
      </c>
    </row>
    <row r="3153" spans="1:13" x14ac:dyDescent="0.3">
      <c r="A3153" t="s">
        <v>19</v>
      </c>
      <c r="B3153">
        <v>3152</v>
      </c>
      <c r="C3153" t="s">
        <v>568</v>
      </c>
      <c r="D3153" t="s">
        <v>34</v>
      </c>
      <c r="E3153">
        <v>2018</v>
      </c>
      <c r="F3153" t="s">
        <v>47</v>
      </c>
      <c r="G3153" t="s">
        <v>23</v>
      </c>
      <c r="H3153" t="s">
        <v>17</v>
      </c>
      <c r="I3153" t="s">
        <v>48</v>
      </c>
      <c r="J3153">
        <v>0</v>
      </c>
      <c r="L3153">
        <v>89.414599999999993</v>
      </c>
      <c r="M3153">
        <v>4.0999999999999996</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4.0999999999999996</v>
      </c>
    </row>
    <row r="3155" spans="1:13" x14ac:dyDescent="0.3">
      <c r="A3155" t="s">
        <v>19</v>
      </c>
      <c r="B3155">
        <v>3154</v>
      </c>
      <c r="C3155" t="s">
        <v>1437</v>
      </c>
      <c r="D3155" t="s">
        <v>161</v>
      </c>
      <c r="E3155">
        <v>2018</v>
      </c>
      <c r="F3155" t="s">
        <v>47</v>
      </c>
      <c r="G3155" t="s">
        <v>23</v>
      </c>
      <c r="H3155" t="s">
        <v>17</v>
      </c>
      <c r="I3155" t="s">
        <v>48</v>
      </c>
      <c r="J3155">
        <v>2.573918E-2</v>
      </c>
      <c r="L3155">
        <v>120.744</v>
      </c>
      <c r="M3155">
        <v>4.0999999999999996</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4.0999999999999996</v>
      </c>
    </row>
    <row r="3157" spans="1:13" x14ac:dyDescent="0.3">
      <c r="A3157" t="s">
        <v>12</v>
      </c>
      <c r="B3157">
        <v>3156</v>
      </c>
      <c r="C3157" t="s">
        <v>733</v>
      </c>
      <c r="D3157" t="s">
        <v>30</v>
      </c>
      <c r="E3157">
        <v>2018</v>
      </c>
      <c r="F3157" t="s">
        <v>47</v>
      </c>
      <c r="G3157" t="s">
        <v>23</v>
      </c>
      <c r="H3157" t="s">
        <v>17</v>
      </c>
      <c r="I3157" t="s">
        <v>48</v>
      </c>
      <c r="J3157">
        <v>0</v>
      </c>
      <c r="L3157">
        <v>91.848799999999997</v>
      </c>
      <c r="M3157">
        <v>4.0999999999999996</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4.0999999999999996</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4.0999999999999996</v>
      </c>
    </row>
    <row r="3160" spans="1:13" x14ac:dyDescent="0.3">
      <c r="A3160" t="s">
        <v>12</v>
      </c>
      <c r="B3160">
        <v>3159</v>
      </c>
      <c r="C3160" t="s">
        <v>458</v>
      </c>
      <c r="D3160" t="s">
        <v>69</v>
      </c>
      <c r="E3160">
        <v>2018</v>
      </c>
      <c r="F3160" t="s">
        <v>47</v>
      </c>
      <c r="G3160" t="s">
        <v>23</v>
      </c>
      <c r="H3160" t="s">
        <v>17</v>
      </c>
      <c r="I3160" t="s">
        <v>48</v>
      </c>
      <c r="J3160">
        <v>3.7516861999999998E-2</v>
      </c>
      <c r="L3160">
        <v>124.3704</v>
      </c>
      <c r="M3160">
        <v>4.0999999999999996</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4.0999999999999996</v>
      </c>
    </row>
    <row r="3162" spans="1:13" x14ac:dyDescent="0.3">
      <c r="A3162" t="s">
        <v>12</v>
      </c>
      <c r="B3162">
        <v>3161</v>
      </c>
      <c r="C3162" t="s">
        <v>436</v>
      </c>
      <c r="D3162" t="s">
        <v>26</v>
      </c>
      <c r="E3162">
        <v>2018</v>
      </c>
      <c r="F3162" t="s">
        <v>47</v>
      </c>
      <c r="G3162" t="s">
        <v>23</v>
      </c>
      <c r="H3162" t="s">
        <v>17</v>
      </c>
      <c r="I3162" t="s">
        <v>48</v>
      </c>
      <c r="J3162">
        <v>1.4018839999999999E-2</v>
      </c>
      <c r="L3162">
        <v>178.1344</v>
      </c>
      <c r="M3162">
        <v>4.0999999999999996</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4.0999999999999996</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4.0999999999999996</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4.0999999999999996</v>
      </c>
    </row>
    <row r="3166" spans="1:13" x14ac:dyDescent="0.3">
      <c r="A3166" t="s">
        <v>12</v>
      </c>
      <c r="B3166">
        <v>3165</v>
      </c>
      <c r="C3166" t="s">
        <v>767</v>
      </c>
      <c r="D3166" t="s">
        <v>14</v>
      </c>
      <c r="E3166">
        <v>2018</v>
      </c>
      <c r="F3166" t="s">
        <v>47</v>
      </c>
      <c r="G3166" t="s">
        <v>23</v>
      </c>
      <c r="H3166" t="s">
        <v>17</v>
      </c>
      <c r="I3166" t="s">
        <v>48</v>
      </c>
      <c r="J3166">
        <v>0</v>
      </c>
      <c r="L3166">
        <v>188.25559999999999</v>
      </c>
      <c r="M3166">
        <v>4.0999999999999996</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4.0999999999999996</v>
      </c>
    </row>
    <row r="3168" spans="1:13" x14ac:dyDescent="0.3">
      <c r="A3168" t="s">
        <v>12</v>
      </c>
      <c r="B3168">
        <v>3167</v>
      </c>
      <c r="C3168" t="s">
        <v>1012</v>
      </c>
      <c r="D3168" t="s">
        <v>14</v>
      </c>
      <c r="E3168">
        <v>2018</v>
      </c>
      <c r="F3168" t="s">
        <v>47</v>
      </c>
      <c r="G3168" t="s">
        <v>23</v>
      </c>
      <c r="H3168" t="s">
        <v>17</v>
      </c>
      <c r="I3168" t="s">
        <v>48</v>
      </c>
      <c r="J3168">
        <v>5.8542509E-2</v>
      </c>
      <c r="L3168">
        <v>168.6448</v>
      </c>
      <c r="M3168">
        <v>4.0999999999999996</v>
      </c>
    </row>
    <row r="3169" spans="1:13" x14ac:dyDescent="0.3">
      <c r="A3169" t="s">
        <v>12</v>
      </c>
      <c r="B3169">
        <v>3168</v>
      </c>
      <c r="C3169" t="s">
        <v>889</v>
      </c>
      <c r="D3169" t="s">
        <v>50</v>
      </c>
      <c r="E3169">
        <v>2018</v>
      </c>
      <c r="F3169" t="s">
        <v>47</v>
      </c>
      <c r="G3169" t="s">
        <v>23</v>
      </c>
      <c r="H3169" t="s">
        <v>17</v>
      </c>
      <c r="I3169" t="s">
        <v>48</v>
      </c>
      <c r="J3169">
        <v>3.7388493000000002E-2</v>
      </c>
      <c r="L3169">
        <v>107.8254</v>
      </c>
      <c r="M3169">
        <v>4.0999999999999996</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4.0999999999999996</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4.0999999999999996</v>
      </c>
    </row>
    <row r="3172" spans="1:13" x14ac:dyDescent="0.3">
      <c r="A3172" t="s">
        <v>12</v>
      </c>
      <c r="B3172">
        <v>3171</v>
      </c>
      <c r="C3172" t="s">
        <v>1439</v>
      </c>
      <c r="D3172" t="s">
        <v>161</v>
      </c>
      <c r="E3172">
        <v>2018</v>
      </c>
      <c r="F3172" t="s">
        <v>47</v>
      </c>
      <c r="G3172" t="s">
        <v>23</v>
      </c>
      <c r="H3172" t="s">
        <v>17</v>
      </c>
      <c r="I3172" t="s">
        <v>48</v>
      </c>
      <c r="J3172">
        <v>0</v>
      </c>
      <c r="L3172">
        <v>59.8904</v>
      </c>
      <c r="M3172">
        <v>4.0999999999999996</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4.0999999999999996</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3.9</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3.9</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3.9</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3.9</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3.9</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1266</v>
      </c>
      <c r="D3847" t="s">
        <v>50</v>
      </c>
      <c r="E3847">
        <v>2018</v>
      </c>
      <c r="F3847" t="s">
        <v>47</v>
      </c>
      <c r="G3847" t="s">
        <v>23</v>
      </c>
      <c r="H3847" t="s">
        <v>17</v>
      </c>
      <c r="I3847" t="s">
        <v>48</v>
      </c>
      <c r="J3847">
        <v>4.4248175000000001E-2</v>
      </c>
      <c r="L3847">
        <v>126.202</v>
      </c>
      <c r="M3847">
        <v>3.9</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3.9</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3.9</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3.9</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3.9</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3.9</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v>3894</v>
      </c>
      <c r="C3895" t="s">
        <v>991</v>
      </c>
      <c r="D3895" t="s">
        <v>14</v>
      </c>
      <c r="E3895">
        <v>2018</v>
      </c>
      <c r="F3895" t="s">
        <v>140</v>
      </c>
      <c r="G3895" t="s">
        <v>16</v>
      </c>
      <c r="H3895" t="s">
        <v>28</v>
      </c>
      <c r="I3895" t="s">
        <v>42</v>
      </c>
      <c r="J3895">
        <v>5.2691045999999998E-2</v>
      </c>
      <c r="L3895">
        <v>216.3192</v>
      </c>
      <c r="M3895">
        <v>3.9</v>
      </c>
    </row>
    <row r="3896" spans="1:13" x14ac:dyDescent="0.3">
      <c r="A3896" t="s">
        <v>19</v>
      </c>
      <c r="B3896">
        <v>3895</v>
      </c>
      <c r="C3896" t="s">
        <v>1294</v>
      </c>
      <c r="D3896" t="s">
        <v>34</v>
      </c>
      <c r="E3896">
        <v>2018</v>
      </c>
      <c r="F3896" t="s">
        <v>140</v>
      </c>
      <c r="G3896" t="s">
        <v>16</v>
      </c>
      <c r="H3896" t="s">
        <v>28</v>
      </c>
      <c r="I3896" t="s">
        <v>42</v>
      </c>
      <c r="J3896">
        <v>0.168780127</v>
      </c>
      <c r="L3896">
        <v>197.8768</v>
      </c>
      <c r="M3896">
        <v>3.9</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3.9</v>
      </c>
    </row>
    <row r="3898" spans="1:13" x14ac:dyDescent="0.3">
      <c r="A3898" t="s">
        <v>19</v>
      </c>
      <c r="B3898">
        <v>3897</v>
      </c>
      <c r="C3898" t="s">
        <v>523</v>
      </c>
      <c r="D3898" t="s">
        <v>30</v>
      </c>
      <c r="E3898">
        <v>2018</v>
      </c>
      <c r="F3898" t="s">
        <v>140</v>
      </c>
      <c r="G3898" t="s">
        <v>16</v>
      </c>
      <c r="H3898" t="s">
        <v>28</v>
      </c>
      <c r="I3898" t="s">
        <v>42</v>
      </c>
      <c r="J3898">
        <v>6.1753510999999997E-2</v>
      </c>
      <c r="L3898">
        <v>253.3014</v>
      </c>
      <c r="M3898">
        <v>3.9</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3.9</v>
      </c>
    </row>
    <row r="3900" spans="1:13" x14ac:dyDescent="0.3">
      <c r="A3900" t="s">
        <v>19</v>
      </c>
      <c r="B3900">
        <v>3899</v>
      </c>
      <c r="C3900" t="s">
        <v>1526</v>
      </c>
      <c r="D3900" t="s">
        <v>14</v>
      </c>
      <c r="E3900">
        <v>2018</v>
      </c>
      <c r="F3900" t="s">
        <v>140</v>
      </c>
      <c r="G3900" t="s">
        <v>16</v>
      </c>
      <c r="H3900" t="s">
        <v>28</v>
      </c>
      <c r="I3900" t="s">
        <v>42</v>
      </c>
      <c r="J3900">
        <v>0</v>
      </c>
      <c r="L3900">
        <v>126.6994</v>
      </c>
      <c r="M3900">
        <v>3.9</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3.9</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3.9</v>
      </c>
    </row>
    <row r="3903" spans="1:13" x14ac:dyDescent="0.3">
      <c r="A3903" t="s">
        <v>19</v>
      </c>
      <c r="B3903">
        <v>3902</v>
      </c>
      <c r="C3903" t="s">
        <v>238</v>
      </c>
      <c r="D3903" t="s">
        <v>21</v>
      </c>
      <c r="E3903">
        <v>2018</v>
      </c>
      <c r="F3903" t="s">
        <v>140</v>
      </c>
      <c r="G3903" t="s">
        <v>16</v>
      </c>
      <c r="H3903" t="s">
        <v>28</v>
      </c>
      <c r="I3903" t="s">
        <v>42</v>
      </c>
      <c r="J3903">
        <v>5.3148497000000003E-2</v>
      </c>
      <c r="L3903">
        <v>36.3874</v>
      </c>
      <c r="M3903">
        <v>3.9</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3.9</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3.9</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3.9</v>
      </c>
    </row>
    <row r="3907" spans="1:13" x14ac:dyDescent="0.3">
      <c r="A3907" t="s">
        <v>19</v>
      </c>
      <c r="B3907">
        <v>3906</v>
      </c>
      <c r="C3907" t="s">
        <v>437</v>
      </c>
      <c r="D3907" t="s">
        <v>44</v>
      </c>
      <c r="E3907">
        <v>2018</v>
      </c>
      <c r="F3907" t="s">
        <v>140</v>
      </c>
      <c r="G3907" t="s">
        <v>16</v>
      </c>
      <c r="H3907" t="s">
        <v>28</v>
      </c>
      <c r="I3907" t="s">
        <v>42</v>
      </c>
      <c r="J3907">
        <v>2.8207784E-2</v>
      </c>
      <c r="L3907">
        <v>195.5478</v>
      </c>
      <c r="M3907">
        <v>3.9</v>
      </c>
    </row>
    <row r="3908" spans="1:13" x14ac:dyDescent="0.3">
      <c r="A3908" t="s">
        <v>19</v>
      </c>
      <c r="B3908">
        <v>3907</v>
      </c>
      <c r="C3908" t="s">
        <v>116</v>
      </c>
      <c r="D3908" t="s">
        <v>44</v>
      </c>
      <c r="E3908">
        <v>2018</v>
      </c>
      <c r="F3908" t="s">
        <v>140</v>
      </c>
      <c r="G3908" t="s">
        <v>16</v>
      </c>
      <c r="H3908" t="s">
        <v>28</v>
      </c>
      <c r="I3908" t="s">
        <v>42</v>
      </c>
      <c r="J3908">
        <v>0.19875618</v>
      </c>
      <c r="L3908">
        <v>250.7724</v>
      </c>
      <c r="M3908">
        <v>3.9</v>
      </c>
    </row>
    <row r="3909" spans="1:13" x14ac:dyDescent="0.3">
      <c r="A3909" t="s">
        <v>19</v>
      </c>
      <c r="B3909">
        <v>3908</v>
      </c>
      <c r="C3909" t="s">
        <v>1320</v>
      </c>
      <c r="D3909" t="s">
        <v>66</v>
      </c>
      <c r="E3909">
        <v>2018</v>
      </c>
      <c r="F3909" t="s">
        <v>140</v>
      </c>
      <c r="G3909" t="s">
        <v>16</v>
      </c>
      <c r="H3909" t="s">
        <v>28</v>
      </c>
      <c r="I3909" t="s">
        <v>42</v>
      </c>
      <c r="J3909">
        <v>0.159394437</v>
      </c>
      <c r="L3909">
        <v>105.6938</v>
      </c>
      <c r="M3909">
        <v>3.9</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3.9</v>
      </c>
    </row>
    <row r="3911" spans="1:13" x14ac:dyDescent="0.3">
      <c r="A3911" t="s">
        <v>12</v>
      </c>
      <c r="B3911">
        <v>3910</v>
      </c>
      <c r="C3911" t="s">
        <v>1416</v>
      </c>
      <c r="D3911" t="s">
        <v>69</v>
      </c>
      <c r="E3911">
        <v>2018</v>
      </c>
      <c r="F3911" t="s">
        <v>140</v>
      </c>
      <c r="G3911" t="s">
        <v>16</v>
      </c>
      <c r="H3911" t="s">
        <v>28</v>
      </c>
      <c r="I3911" t="s">
        <v>42</v>
      </c>
      <c r="J3911">
        <v>1.4497036E-2</v>
      </c>
      <c r="L3911">
        <v>150.8708</v>
      </c>
      <c r="M3911">
        <v>3.9</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3.9</v>
      </c>
    </row>
    <row r="3913" spans="1:13" x14ac:dyDescent="0.3">
      <c r="A3913" t="s">
        <v>12</v>
      </c>
      <c r="B3913">
        <v>3912</v>
      </c>
      <c r="C3913" t="s">
        <v>980</v>
      </c>
      <c r="D3913" t="s">
        <v>69</v>
      </c>
      <c r="E3913">
        <v>2018</v>
      </c>
      <c r="F3913" t="s">
        <v>140</v>
      </c>
      <c r="G3913" t="s">
        <v>16</v>
      </c>
      <c r="H3913" t="s">
        <v>28</v>
      </c>
      <c r="I3913" t="s">
        <v>42</v>
      </c>
      <c r="J3913">
        <v>3.9415840000000001E-2</v>
      </c>
      <c r="L3913">
        <v>247.8092</v>
      </c>
      <c r="M3913">
        <v>3.9</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3.9</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3.9</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3.9</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3.9</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3.9</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3.9</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3.9</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3.9</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3.9</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3.9</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3.9</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3.9</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3.9</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3.9</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3.9</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3.9</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3.9</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3.9</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3.9</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3.9</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3.9</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3.9</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3.9</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3.9</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3.9</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3.9</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3.9</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3.9</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3.9</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3.9</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3.9</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3.9</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3.9</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3.9</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3.9</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3.9</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3.9</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3.9</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3.9</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3.9</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3.9</v>
      </c>
    </row>
    <row r="4067" spans="1:13" x14ac:dyDescent="0.3">
      <c r="A4067" t="s">
        <v>12</v>
      </c>
      <c r="B4067">
        <v>4066</v>
      </c>
      <c r="C4067" t="s">
        <v>423</v>
      </c>
      <c r="D4067" t="s">
        <v>97</v>
      </c>
      <c r="E4067">
        <v>2014</v>
      </c>
      <c r="F4067" t="s">
        <v>31</v>
      </c>
      <c r="G4067" t="s">
        <v>23</v>
      </c>
      <c r="H4067" t="s">
        <v>32</v>
      </c>
      <c r="I4067" t="s">
        <v>18</v>
      </c>
      <c r="J4067">
        <v>0</v>
      </c>
      <c r="K4067">
        <v>6.78</v>
      </c>
      <c r="L4067">
        <v>94.012</v>
      </c>
      <c r="M4067">
        <v>3.9</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3.9</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3.9</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3.9</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3.9</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3.9</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3.9</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3.9</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3.9</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3.9</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3.9</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3.9</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908</v>
      </c>
      <c r="D4104" t="s">
        <v>97</v>
      </c>
      <c r="E4104">
        <v>2018</v>
      </c>
      <c r="F4104" t="s">
        <v>47</v>
      </c>
      <c r="G4104" t="s">
        <v>23</v>
      </c>
      <c r="H4104" t="s">
        <v>17</v>
      </c>
      <c r="I4104" t="s">
        <v>48</v>
      </c>
      <c r="J4104">
        <v>2.7644732000000002E-2</v>
      </c>
      <c r="L4104">
        <v>149.4708</v>
      </c>
      <c r="M4104">
        <v>3.9</v>
      </c>
    </row>
    <row r="4105" spans="1:13" x14ac:dyDescent="0.3">
      <c r="A4105" t="s">
        <v>19</v>
      </c>
      <c r="B4105">
        <v>4104</v>
      </c>
      <c r="C4105" t="s">
        <v>768</v>
      </c>
      <c r="D4105" t="s">
        <v>30</v>
      </c>
      <c r="E4105">
        <v>2018</v>
      </c>
      <c r="F4105" t="s">
        <v>47</v>
      </c>
      <c r="G4105" t="s">
        <v>23</v>
      </c>
      <c r="H4105" t="s">
        <v>17</v>
      </c>
      <c r="I4105" t="s">
        <v>48</v>
      </c>
      <c r="J4105">
        <v>1.1206631999999999E-2</v>
      </c>
      <c r="L4105">
        <v>191.4188</v>
      </c>
      <c r="M4105">
        <v>3.9</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3.9</v>
      </c>
    </row>
    <row r="4107" spans="1:13" x14ac:dyDescent="0.3">
      <c r="A4107" t="s">
        <v>19</v>
      </c>
      <c r="B4107">
        <v>4106</v>
      </c>
      <c r="C4107" t="s">
        <v>551</v>
      </c>
      <c r="D4107" t="s">
        <v>69</v>
      </c>
      <c r="E4107">
        <v>2018</v>
      </c>
      <c r="F4107" t="s">
        <v>47</v>
      </c>
      <c r="G4107" t="s">
        <v>23</v>
      </c>
      <c r="H4107" t="s">
        <v>17</v>
      </c>
      <c r="I4107" t="s">
        <v>48</v>
      </c>
      <c r="J4107">
        <v>4.9623924E-2</v>
      </c>
      <c r="L4107">
        <v>83.224999999999994</v>
      </c>
      <c r="M4107">
        <v>3.9</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3.9</v>
      </c>
    </row>
    <row r="4109" spans="1:13" x14ac:dyDescent="0.3">
      <c r="A4109" t="s">
        <v>19</v>
      </c>
      <c r="B4109">
        <v>4108</v>
      </c>
      <c r="C4109" t="s">
        <v>718</v>
      </c>
      <c r="D4109" t="s">
        <v>26</v>
      </c>
      <c r="E4109">
        <v>2018</v>
      </c>
      <c r="F4109" t="s">
        <v>47</v>
      </c>
      <c r="G4109" t="s">
        <v>23</v>
      </c>
      <c r="H4109" t="s">
        <v>17</v>
      </c>
      <c r="I4109" t="s">
        <v>48</v>
      </c>
      <c r="J4109">
        <v>3.6494521000000002E-2</v>
      </c>
      <c r="L4109">
        <v>179.0976</v>
      </c>
      <c r="M4109">
        <v>3.9</v>
      </c>
    </row>
    <row r="4110" spans="1:13" x14ac:dyDescent="0.3">
      <c r="A4110" t="s">
        <v>19</v>
      </c>
      <c r="B4110">
        <v>4109</v>
      </c>
      <c r="C4110" t="s">
        <v>83</v>
      </c>
      <c r="D4110" t="s">
        <v>14</v>
      </c>
      <c r="E4110">
        <v>2018</v>
      </c>
      <c r="F4110" t="s">
        <v>47</v>
      </c>
      <c r="G4110" t="s">
        <v>23</v>
      </c>
      <c r="H4110" t="s">
        <v>17</v>
      </c>
      <c r="I4110" t="s">
        <v>48</v>
      </c>
      <c r="J4110">
        <v>0</v>
      </c>
      <c r="L4110">
        <v>45.940199999999997</v>
      </c>
      <c r="M4110">
        <v>3.9</v>
      </c>
    </row>
    <row r="4111" spans="1:13" x14ac:dyDescent="0.3">
      <c r="A4111" t="s">
        <v>19</v>
      </c>
      <c r="B4111">
        <v>4110</v>
      </c>
      <c r="C4111" t="s">
        <v>673</v>
      </c>
      <c r="D4111" t="s">
        <v>44</v>
      </c>
      <c r="E4111">
        <v>2018</v>
      </c>
      <c r="F4111" t="s">
        <v>47</v>
      </c>
      <c r="G4111" t="s">
        <v>23</v>
      </c>
      <c r="H4111" t="s">
        <v>17</v>
      </c>
      <c r="I4111" t="s">
        <v>48</v>
      </c>
      <c r="J4111">
        <v>9.6411425999999995E-2</v>
      </c>
      <c r="L4111">
        <v>192.982</v>
      </c>
      <c r="M4111">
        <v>3.9</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3.9</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3.9</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3.9</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3.9</v>
      </c>
    </row>
    <row r="4116" spans="1:13" x14ac:dyDescent="0.3">
      <c r="A4116" t="s">
        <v>19</v>
      </c>
      <c r="B4116">
        <v>4115</v>
      </c>
      <c r="C4116" t="s">
        <v>1479</v>
      </c>
      <c r="D4116" t="s">
        <v>44</v>
      </c>
      <c r="E4116">
        <v>2018</v>
      </c>
      <c r="F4116" t="s">
        <v>47</v>
      </c>
      <c r="G4116" t="s">
        <v>23</v>
      </c>
      <c r="H4116" t="s">
        <v>17</v>
      </c>
      <c r="I4116" t="s">
        <v>48</v>
      </c>
      <c r="J4116">
        <v>0.134418705</v>
      </c>
      <c r="L4116">
        <v>99.67</v>
      </c>
      <c r="M4116">
        <v>3.9</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3.9</v>
      </c>
    </row>
    <row r="4118" spans="1:13" x14ac:dyDescent="0.3">
      <c r="A4118" t="s">
        <v>19</v>
      </c>
      <c r="B4118">
        <v>4117</v>
      </c>
      <c r="C4118" t="s">
        <v>1268</v>
      </c>
      <c r="D4118" t="s">
        <v>50</v>
      </c>
      <c r="E4118">
        <v>2018</v>
      </c>
      <c r="F4118" t="s">
        <v>47</v>
      </c>
      <c r="G4118" t="s">
        <v>23</v>
      </c>
      <c r="H4118" t="s">
        <v>17</v>
      </c>
      <c r="I4118" t="s">
        <v>48</v>
      </c>
      <c r="J4118">
        <v>0.11753085100000001</v>
      </c>
      <c r="L4118">
        <v>222.7088</v>
      </c>
      <c r="M4118">
        <v>3.9</v>
      </c>
    </row>
    <row r="4119" spans="1:13" x14ac:dyDescent="0.3">
      <c r="A4119" t="s">
        <v>19</v>
      </c>
      <c r="B4119">
        <v>4118</v>
      </c>
      <c r="C4119" t="s">
        <v>1539</v>
      </c>
      <c r="D4119" t="s">
        <v>34</v>
      </c>
      <c r="E4119">
        <v>2018</v>
      </c>
      <c r="F4119" t="s">
        <v>47</v>
      </c>
      <c r="G4119" t="s">
        <v>23</v>
      </c>
      <c r="H4119" t="s">
        <v>17</v>
      </c>
      <c r="I4119" t="s">
        <v>48</v>
      </c>
      <c r="J4119">
        <v>0</v>
      </c>
      <c r="L4119">
        <v>153.80240000000001</v>
      </c>
      <c r="M4119">
        <v>3.9</v>
      </c>
    </row>
    <row r="4120" spans="1:13" x14ac:dyDescent="0.3">
      <c r="A4120" t="s">
        <v>12</v>
      </c>
      <c r="B4120">
        <v>4119</v>
      </c>
      <c r="C4120" t="s">
        <v>614</v>
      </c>
      <c r="D4120" t="s">
        <v>97</v>
      </c>
      <c r="E4120">
        <v>2018</v>
      </c>
      <c r="F4120" t="s">
        <v>47</v>
      </c>
      <c r="G4120" t="s">
        <v>23</v>
      </c>
      <c r="H4120" t="s">
        <v>17</v>
      </c>
      <c r="I4120" t="s">
        <v>48</v>
      </c>
      <c r="J4120">
        <v>4.8292188999999999E-2</v>
      </c>
      <c r="L4120">
        <v>133.1626</v>
      </c>
      <c r="M4120">
        <v>3.9</v>
      </c>
    </row>
    <row r="4121" spans="1:13" x14ac:dyDescent="0.3">
      <c r="A4121" t="s">
        <v>12</v>
      </c>
      <c r="B4121">
        <v>4120</v>
      </c>
      <c r="C4121" t="s">
        <v>1092</v>
      </c>
      <c r="D4121" t="s">
        <v>59</v>
      </c>
      <c r="E4121">
        <v>2018</v>
      </c>
      <c r="F4121" t="s">
        <v>47</v>
      </c>
      <c r="G4121" t="s">
        <v>23</v>
      </c>
      <c r="H4121" t="s">
        <v>17</v>
      </c>
      <c r="I4121" t="s">
        <v>48</v>
      </c>
      <c r="J4121">
        <v>5.4220617999999998E-2</v>
      </c>
      <c r="L4121">
        <v>129.131</v>
      </c>
      <c r="M4121">
        <v>3.9</v>
      </c>
    </row>
    <row r="4122" spans="1:13" x14ac:dyDescent="0.3">
      <c r="A4122" t="s">
        <v>12</v>
      </c>
      <c r="B4122">
        <v>4121</v>
      </c>
      <c r="C4122" t="s">
        <v>1542</v>
      </c>
      <c r="D4122" t="s">
        <v>26</v>
      </c>
      <c r="E4122">
        <v>2018</v>
      </c>
      <c r="F4122" t="s">
        <v>47</v>
      </c>
      <c r="G4122" t="s">
        <v>23</v>
      </c>
      <c r="H4122" t="s">
        <v>17</v>
      </c>
      <c r="I4122" t="s">
        <v>48</v>
      </c>
      <c r="J4122">
        <v>3.7681358999999998E-2</v>
      </c>
      <c r="L4122">
        <v>125.1046</v>
      </c>
      <c r="M4122">
        <v>3.9</v>
      </c>
    </row>
    <row r="4123" spans="1:13" x14ac:dyDescent="0.3">
      <c r="A4123" t="s">
        <v>12</v>
      </c>
      <c r="B4123">
        <v>4122</v>
      </c>
      <c r="C4123" t="s">
        <v>582</v>
      </c>
      <c r="D4123" t="s">
        <v>26</v>
      </c>
      <c r="E4123">
        <v>2018</v>
      </c>
      <c r="F4123" t="s">
        <v>47</v>
      </c>
      <c r="G4123" t="s">
        <v>23</v>
      </c>
      <c r="H4123" t="s">
        <v>17</v>
      </c>
      <c r="I4123" t="s">
        <v>48</v>
      </c>
      <c r="J4123">
        <v>1.9837654999999999E-2</v>
      </c>
      <c r="L4123">
        <v>128.131</v>
      </c>
      <c r="M4123">
        <v>3.9</v>
      </c>
    </row>
    <row r="4124" spans="1:13" x14ac:dyDescent="0.3">
      <c r="A4124" t="s">
        <v>12</v>
      </c>
      <c r="B4124">
        <v>4123</v>
      </c>
      <c r="C4124" t="s">
        <v>1486</v>
      </c>
      <c r="D4124" t="s">
        <v>14</v>
      </c>
      <c r="E4124">
        <v>2018</v>
      </c>
      <c r="F4124" t="s">
        <v>47</v>
      </c>
      <c r="G4124" t="s">
        <v>23</v>
      </c>
      <c r="H4124" t="s">
        <v>17</v>
      </c>
      <c r="I4124" t="s">
        <v>48</v>
      </c>
      <c r="J4124">
        <v>2.2807826E-2</v>
      </c>
      <c r="L4124">
        <v>183.495</v>
      </c>
      <c r="M4124">
        <v>3.9</v>
      </c>
    </row>
    <row r="4125" spans="1:13" x14ac:dyDescent="0.3">
      <c r="A4125" t="s">
        <v>12</v>
      </c>
      <c r="B4125">
        <v>4124</v>
      </c>
      <c r="C4125" t="s">
        <v>445</v>
      </c>
      <c r="D4125" t="s">
        <v>14</v>
      </c>
      <c r="E4125">
        <v>2018</v>
      </c>
      <c r="F4125" t="s">
        <v>47</v>
      </c>
      <c r="G4125" t="s">
        <v>23</v>
      </c>
      <c r="H4125" t="s">
        <v>17</v>
      </c>
      <c r="I4125" t="s">
        <v>48</v>
      </c>
      <c r="J4125">
        <v>6.2109174000000003E-2</v>
      </c>
      <c r="L4125">
        <v>223.7062</v>
      </c>
      <c r="M4125">
        <v>3.9</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3.9</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3.9</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3.9</v>
      </c>
    </row>
    <row r="4129" spans="1:13" x14ac:dyDescent="0.3">
      <c r="A4129" t="s">
        <v>12</v>
      </c>
      <c r="B4129">
        <v>4128</v>
      </c>
      <c r="C4129" t="s">
        <v>1498</v>
      </c>
      <c r="D4129" t="s">
        <v>34</v>
      </c>
      <c r="E4129">
        <v>2018</v>
      </c>
      <c r="F4129" t="s">
        <v>47</v>
      </c>
      <c r="G4129" t="s">
        <v>23</v>
      </c>
      <c r="H4129" t="s">
        <v>17</v>
      </c>
      <c r="I4129" t="s">
        <v>48</v>
      </c>
      <c r="J4129">
        <v>3.9734881999999999E-2</v>
      </c>
      <c r="L4129">
        <v>165.7868</v>
      </c>
      <c r="M4129">
        <v>3.9</v>
      </c>
    </row>
    <row r="4130" spans="1:13" x14ac:dyDescent="0.3">
      <c r="A4130" t="s">
        <v>37</v>
      </c>
      <c r="B4130">
        <v>4129</v>
      </c>
      <c r="C4130" t="s">
        <v>280</v>
      </c>
      <c r="D4130" t="s">
        <v>21</v>
      </c>
      <c r="E4130">
        <v>2018</v>
      </c>
      <c r="F4130" t="s">
        <v>47</v>
      </c>
      <c r="G4130" t="s">
        <v>23</v>
      </c>
      <c r="H4130" t="s">
        <v>17</v>
      </c>
      <c r="I4130" t="s">
        <v>48</v>
      </c>
      <c r="J4130">
        <v>7.5368868000000006E-2</v>
      </c>
      <c r="L4130">
        <v>35.2532</v>
      </c>
      <c r="M4130">
        <v>3.9</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3.8</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1059</v>
      </c>
      <c r="D4136" t="s">
        <v>50</v>
      </c>
      <c r="E4136">
        <v>2018</v>
      </c>
      <c r="F4136" t="s">
        <v>47</v>
      </c>
      <c r="G4136" t="s">
        <v>23</v>
      </c>
      <c r="H4136" t="s">
        <v>17</v>
      </c>
      <c r="I4136" t="s">
        <v>48</v>
      </c>
      <c r="J4136">
        <v>3.5334201000000003E-2</v>
      </c>
      <c r="L4136">
        <v>115.3518</v>
      </c>
      <c r="M4136">
        <v>3.8</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3.8</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3.8</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3.8</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3.8</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3.8</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3.8</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3.8</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3.8</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3.8</v>
      </c>
    </row>
    <row r="4179" spans="1:13" x14ac:dyDescent="0.3">
      <c r="A4179" t="s">
        <v>19</v>
      </c>
      <c r="B4179">
        <v>4178</v>
      </c>
      <c r="C4179" t="s">
        <v>1543</v>
      </c>
      <c r="D4179" t="s">
        <v>50</v>
      </c>
      <c r="E4179">
        <v>2018</v>
      </c>
      <c r="F4179" t="s">
        <v>140</v>
      </c>
      <c r="G4179" t="s">
        <v>16</v>
      </c>
      <c r="H4179" t="s">
        <v>28</v>
      </c>
      <c r="I4179" t="s">
        <v>42</v>
      </c>
      <c r="J4179">
        <v>0.30374337000000001</v>
      </c>
      <c r="L4179">
        <v>196.011</v>
      </c>
      <c r="M4179">
        <v>3.8</v>
      </c>
    </row>
    <row r="4180" spans="1:13" x14ac:dyDescent="0.3">
      <c r="A4180" t="s">
        <v>19</v>
      </c>
      <c r="B4180">
        <v>4179</v>
      </c>
      <c r="C4180" t="s">
        <v>646</v>
      </c>
      <c r="D4180" t="s">
        <v>34</v>
      </c>
      <c r="E4180">
        <v>2018</v>
      </c>
      <c r="F4180" t="s">
        <v>140</v>
      </c>
      <c r="G4180" t="s">
        <v>16</v>
      </c>
      <c r="H4180" t="s">
        <v>28</v>
      </c>
      <c r="I4180" t="s">
        <v>42</v>
      </c>
      <c r="J4180">
        <v>3.3929133E-2</v>
      </c>
      <c r="L4180">
        <v>154.3972</v>
      </c>
      <c r="M4180">
        <v>3.8</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3.8</v>
      </c>
    </row>
    <row r="4182" spans="1:13" x14ac:dyDescent="0.3">
      <c r="A4182" t="s">
        <v>19</v>
      </c>
      <c r="B4182">
        <v>4181</v>
      </c>
      <c r="C4182" t="s">
        <v>1063</v>
      </c>
      <c r="D4182" t="s">
        <v>97</v>
      </c>
      <c r="E4182">
        <v>2018</v>
      </c>
      <c r="F4182" t="s">
        <v>140</v>
      </c>
      <c r="G4182" t="s">
        <v>16</v>
      </c>
      <c r="H4182" t="s">
        <v>28</v>
      </c>
      <c r="I4182" t="s">
        <v>42</v>
      </c>
      <c r="J4182">
        <v>0</v>
      </c>
      <c r="L4182">
        <v>81.861800000000002</v>
      </c>
      <c r="M4182">
        <v>3.8</v>
      </c>
    </row>
    <row r="4183" spans="1:13" x14ac:dyDescent="0.3">
      <c r="A4183" t="s">
        <v>19</v>
      </c>
      <c r="B4183">
        <v>4182</v>
      </c>
      <c r="C4183" t="s">
        <v>768</v>
      </c>
      <c r="D4183" t="s">
        <v>30</v>
      </c>
      <c r="E4183">
        <v>2018</v>
      </c>
      <c r="F4183" t="s">
        <v>140</v>
      </c>
      <c r="G4183" t="s">
        <v>16</v>
      </c>
      <c r="H4183" t="s">
        <v>28</v>
      </c>
      <c r="I4183" t="s">
        <v>42</v>
      </c>
      <c r="J4183">
        <v>1.9716846E-2</v>
      </c>
      <c r="L4183">
        <v>191.9188</v>
      </c>
      <c r="M4183">
        <v>3.8</v>
      </c>
    </row>
    <row r="4184" spans="1:13" x14ac:dyDescent="0.3">
      <c r="A4184" t="s">
        <v>19</v>
      </c>
      <c r="B4184">
        <v>4183</v>
      </c>
      <c r="C4184" t="s">
        <v>1147</v>
      </c>
      <c r="D4184" t="s">
        <v>14</v>
      </c>
      <c r="E4184">
        <v>2018</v>
      </c>
      <c r="F4184" t="s">
        <v>140</v>
      </c>
      <c r="G4184" t="s">
        <v>16</v>
      </c>
      <c r="H4184" t="s">
        <v>28</v>
      </c>
      <c r="I4184" t="s">
        <v>42</v>
      </c>
      <c r="J4184">
        <v>0.30814544799999999</v>
      </c>
      <c r="L4184">
        <v>222.0772</v>
      </c>
      <c r="M4184">
        <v>3.8</v>
      </c>
    </row>
    <row r="4185" spans="1:13" x14ac:dyDescent="0.3">
      <c r="A4185" t="s">
        <v>19</v>
      </c>
      <c r="B4185">
        <v>4184</v>
      </c>
      <c r="C4185" t="s">
        <v>796</v>
      </c>
      <c r="D4185" t="s">
        <v>63</v>
      </c>
      <c r="E4185">
        <v>2018</v>
      </c>
      <c r="F4185" t="s">
        <v>140</v>
      </c>
      <c r="G4185" t="s">
        <v>16</v>
      </c>
      <c r="H4185" t="s">
        <v>28</v>
      </c>
      <c r="I4185" t="s">
        <v>42</v>
      </c>
      <c r="J4185">
        <v>6.0237464999999997E-2</v>
      </c>
      <c r="L4185">
        <v>115.9834</v>
      </c>
      <c r="M4185">
        <v>3.8</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3.8</v>
      </c>
    </row>
    <row r="4187" spans="1:13" x14ac:dyDescent="0.3">
      <c r="A4187" t="s">
        <v>19</v>
      </c>
      <c r="B4187">
        <v>4186</v>
      </c>
      <c r="C4187" t="s">
        <v>450</v>
      </c>
      <c r="D4187" t="s">
        <v>44</v>
      </c>
      <c r="E4187">
        <v>2018</v>
      </c>
      <c r="F4187" t="s">
        <v>140</v>
      </c>
      <c r="G4187" t="s">
        <v>16</v>
      </c>
      <c r="H4187" t="s">
        <v>28</v>
      </c>
      <c r="I4187" t="s">
        <v>42</v>
      </c>
      <c r="J4187">
        <v>0.20778348299999999</v>
      </c>
      <c r="L4187">
        <v>262.291</v>
      </c>
      <c r="M4187">
        <v>3.8</v>
      </c>
    </row>
    <row r="4188" spans="1:13" x14ac:dyDescent="0.3">
      <c r="A4188" t="s">
        <v>19</v>
      </c>
      <c r="B4188">
        <v>4187</v>
      </c>
      <c r="C4188" t="s">
        <v>633</v>
      </c>
      <c r="D4188" t="s">
        <v>66</v>
      </c>
      <c r="E4188">
        <v>2018</v>
      </c>
      <c r="F4188" t="s">
        <v>140</v>
      </c>
      <c r="G4188" t="s">
        <v>16</v>
      </c>
      <c r="H4188" t="s">
        <v>28</v>
      </c>
      <c r="I4188" t="s">
        <v>42</v>
      </c>
      <c r="J4188">
        <v>1.1835436E-2</v>
      </c>
      <c r="L4188">
        <v>121.373</v>
      </c>
      <c r="M4188">
        <v>3.8</v>
      </c>
    </row>
    <row r="4189" spans="1:13" x14ac:dyDescent="0.3">
      <c r="A4189" t="s">
        <v>12</v>
      </c>
      <c r="B4189">
        <v>4188</v>
      </c>
      <c r="C4189" t="s">
        <v>422</v>
      </c>
      <c r="D4189" t="s">
        <v>97</v>
      </c>
      <c r="E4189">
        <v>2018</v>
      </c>
      <c r="F4189" t="s">
        <v>140</v>
      </c>
      <c r="G4189" t="s">
        <v>16</v>
      </c>
      <c r="H4189" t="s">
        <v>28</v>
      </c>
      <c r="I4189" t="s">
        <v>42</v>
      </c>
      <c r="J4189">
        <v>0</v>
      </c>
      <c r="L4189">
        <v>121.3098</v>
      </c>
      <c r="M4189">
        <v>3.8</v>
      </c>
    </row>
    <row r="4190" spans="1:13" x14ac:dyDescent="0.3">
      <c r="A4190" t="s">
        <v>12</v>
      </c>
      <c r="B4190">
        <v>4189</v>
      </c>
      <c r="C4190" t="s">
        <v>268</v>
      </c>
      <c r="D4190" t="s">
        <v>97</v>
      </c>
      <c r="E4190">
        <v>2018</v>
      </c>
      <c r="F4190" t="s">
        <v>140</v>
      </c>
      <c r="G4190" t="s">
        <v>16</v>
      </c>
      <c r="H4190" t="s">
        <v>28</v>
      </c>
      <c r="I4190" t="s">
        <v>42</v>
      </c>
      <c r="J4190">
        <v>0.20548439499999999</v>
      </c>
      <c r="L4190">
        <v>198.011</v>
      </c>
      <c r="M4190">
        <v>3.8</v>
      </c>
    </row>
    <row r="4191" spans="1:13" x14ac:dyDescent="0.3">
      <c r="A4191" t="s">
        <v>12</v>
      </c>
      <c r="B4191">
        <v>4190</v>
      </c>
      <c r="C4191" t="s">
        <v>472</v>
      </c>
      <c r="D4191" t="s">
        <v>14</v>
      </c>
      <c r="E4191">
        <v>2018</v>
      </c>
      <c r="F4191" t="s">
        <v>140</v>
      </c>
      <c r="G4191" t="s">
        <v>16</v>
      </c>
      <c r="H4191" t="s">
        <v>28</v>
      </c>
      <c r="I4191" t="s">
        <v>42</v>
      </c>
      <c r="J4191">
        <v>6.6765522999999993E-2</v>
      </c>
      <c r="L4191">
        <v>107.1964</v>
      </c>
      <c r="M4191">
        <v>3.8</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3.8</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3.8</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3.8</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3.8</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3.8</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3.8</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3.8</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3.8</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3.8</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3.8</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3.8</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3.8</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3.8</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3.8</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3.8</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3.8</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3.8</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3.8</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3.8</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3.8</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3.8</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3.8</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3.8</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3.8</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3.8</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3.8</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3.8</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3.8</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3.8</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3.8</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3.8</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3.8</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3.8</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3.8</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3.8</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3.8</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3.8</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3.8</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3.8</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3.8</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3.8</v>
      </c>
    </row>
    <row r="4356" spans="1:13" x14ac:dyDescent="0.3">
      <c r="A4356" t="s">
        <v>19</v>
      </c>
      <c r="B4356">
        <v>4355</v>
      </c>
      <c r="C4356" t="s">
        <v>818</v>
      </c>
      <c r="D4356" t="s">
        <v>97</v>
      </c>
      <c r="E4356">
        <v>2018</v>
      </c>
      <c r="F4356" t="s">
        <v>47</v>
      </c>
      <c r="G4356" t="s">
        <v>23</v>
      </c>
      <c r="H4356" t="s">
        <v>17</v>
      </c>
      <c r="I4356" t="s">
        <v>48</v>
      </c>
      <c r="J4356">
        <v>1.3861607E-2</v>
      </c>
      <c r="L4356">
        <v>94.446200000000005</v>
      </c>
      <c r="M4356">
        <v>3.8</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3.8</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3.8</v>
      </c>
    </row>
    <row r="4359" spans="1:13" x14ac:dyDescent="0.3">
      <c r="A4359" t="s">
        <v>19</v>
      </c>
      <c r="B4359">
        <v>4358</v>
      </c>
      <c r="C4359" t="s">
        <v>668</v>
      </c>
      <c r="D4359" t="s">
        <v>26</v>
      </c>
      <c r="E4359">
        <v>2018</v>
      </c>
      <c r="F4359" t="s">
        <v>47</v>
      </c>
      <c r="G4359" t="s">
        <v>23</v>
      </c>
      <c r="H4359" t="s">
        <v>17</v>
      </c>
      <c r="I4359" t="s">
        <v>48</v>
      </c>
      <c r="J4359">
        <v>1.8321361000000001E-2</v>
      </c>
      <c r="L4359">
        <v>255.3698</v>
      </c>
      <c r="M4359">
        <v>3.8</v>
      </c>
    </row>
    <row r="4360" spans="1:13" x14ac:dyDescent="0.3">
      <c r="A4360" t="s">
        <v>19</v>
      </c>
      <c r="B4360">
        <v>4359</v>
      </c>
      <c r="C4360" t="s">
        <v>143</v>
      </c>
      <c r="D4360" t="s">
        <v>14</v>
      </c>
      <c r="E4360">
        <v>2018</v>
      </c>
      <c r="F4360" t="s">
        <v>47</v>
      </c>
      <c r="G4360" t="s">
        <v>23</v>
      </c>
      <c r="H4360" t="s">
        <v>17</v>
      </c>
      <c r="I4360" t="s">
        <v>48</v>
      </c>
      <c r="J4360">
        <v>2.1498768000000001E-2</v>
      </c>
      <c r="L4360">
        <v>111.5228</v>
      </c>
      <c r="M4360">
        <v>3.8</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3.8</v>
      </c>
    </row>
    <row r="4362" spans="1:13" x14ac:dyDescent="0.3">
      <c r="A4362" t="s">
        <v>19</v>
      </c>
      <c r="B4362">
        <v>4361</v>
      </c>
      <c r="C4362" t="s">
        <v>210</v>
      </c>
      <c r="D4362" t="s">
        <v>14</v>
      </c>
      <c r="E4362">
        <v>2018</v>
      </c>
      <c r="F4362" t="s">
        <v>47</v>
      </c>
      <c r="G4362" t="s">
        <v>23</v>
      </c>
      <c r="H4362" t="s">
        <v>17</v>
      </c>
      <c r="I4362" t="s">
        <v>48</v>
      </c>
      <c r="J4362">
        <v>1.5485016000000001E-2</v>
      </c>
      <c r="L4362">
        <v>185.6266</v>
      </c>
      <c r="M4362">
        <v>3.8</v>
      </c>
    </row>
    <row r="4363" spans="1:13" x14ac:dyDescent="0.3">
      <c r="A4363" t="s">
        <v>19</v>
      </c>
      <c r="B4363">
        <v>4362</v>
      </c>
      <c r="C4363" t="s">
        <v>145</v>
      </c>
      <c r="D4363" t="s">
        <v>14</v>
      </c>
      <c r="E4363">
        <v>2018</v>
      </c>
      <c r="F4363" t="s">
        <v>47</v>
      </c>
      <c r="G4363" t="s">
        <v>23</v>
      </c>
      <c r="H4363" t="s">
        <v>17</v>
      </c>
      <c r="I4363" t="s">
        <v>48</v>
      </c>
      <c r="J4363">
        <v>2.5612348E-2</v>
      </c>
      <c r="L4363">
        <v>168.2474</v>
      </c>
      <c r="M4363">
        <v>3.8</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3.8</v>
      </c>
    </row>
    <row r="4365" spans="1:13" x14ac:dyDescent="0.3">
      <c r="A4365" t="s">
        <v>19</v>
      </c>
      <c r="B4365">
        <v>4364</v>
      </c>
      <c r="C4365" t="s">
        <v>797</v>
      </c>
      <c r="D4365" t="s">
        <v>63</v>
      </c>
      <c r="E4365">
        <v>2018</v>
      </c>
      <c r="F4365" t="s">
        <v>47</v>
      </c>
      <c r="G4365" t="s">
        <v>23</v>
      </c>
      <c r="H4365" t="s">
        <v>17</v>
      </c>
      <c r="I4365" t="s">
        <v>48</v>
      </c>
      <c r="J4365">
        <v>3.8549197E-2</v>
      </c>
      <c r="L4365">
        <v>127.53619999999999</v>
      </c>
      <c r="M4365">
        <v>3.8</v>
      </c>
    </row>
    <row r="4366" spans="1:13" x14ac:dyDescent="0.3">
      <c r="A4366" t="s">
        <v>19</v>
      </c>
      <c r="B4366">
        <v>4365</v>
      </c>
      <c r="C4366" t="s">
        <v>60</v>
      </c>
      <c r="D4366" t="s">
        <v>44</v>
      </c>
      <c r="E4366">
        <v>2018</v>
      </c>
      <c r="F4366" t="s">
        <v>47</v>
      </c>
      <c r="G4366" t="s">
        <v>23</v>
      </c>
      <c r="H4366" t="s">
        <v>17</v>
      </c>
      <c r="I4366" t="s">
        <v>48</v>
      </c>
      <c r="J4366">
        <v>7.7132215000000004E-2</v>
      </c>
      <c r="L4366">
        <v>197.411</v>
      </c>
      <c r="M4366">
        <v>3.8</v>
      </c>
    </row>
    <row r="4367" spans="1:13" x14ac:dyDescent="0.3">
      <c r="A4367" t="s">
        <v>19</v>
      </c>
      <c r="B4367">
        <v>4366</v>
      </c>
      <c r="C4367" t="s">
        <v>898</v>
      </c>
      <c r="D4367" t="s">
        <v>44</v>
      </c>
      <c r="E4367">
        <v>2018</v>
      </c>
      <c r="F4367" t="s">
        <v>47</v>
      </c>
      <c r="G4367" t="s">
        <v>23</v>
      </c>
      <c r="H4367" t="s">
        <v>17</v>
      </c>
      <c r="I4367" t="s">
        <v>48</v>
      </c>
      <c r="J4367">
        <v>0.16657250100000001</v>
      </c>
      <c r="L4367">
        <v>176.1712</v>
      </c>
      <c r="M4367">
        <v>3.8</v>
      </c>
    </row>
    <row r="4368" spans="1:13" x14ac:dyDescent="0.3">
      <c r="A4368" t="s">
        <v>19</v>
      </c>
      <c r="B4368">
        <v>4367</v>
      </c>
      <c r="C4368" t="s">
        <v>1510</v>
      </c>
      <c r="D4368" t="s">
        <v>44</v>
      </c>
      <c r="E4368">
        <v>2018</v>
      </c>
      <c r="F4368" t="s">
        <v>47</v>
      </c>
      <c r="G4368" t="s">
        <v>23</v>
      </c>
      <c r="H4368" t="s">
        <v>17</v>
      </c>
      <c r="I4368" t="s">
        <v>48</v>
      </c>
      <c r="J4368">
        <v>8.6046569999999999E-3</v>
      </c>
      <c r="L4368">
        <v>123.1756</v>
      </c>
      <c r="M4368">
        <v>3.8</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3.8</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3.8</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3.8</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3.8</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3.8</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3.8</v>
      </c>
    </row>
    <row r="4375" spans="1:13" x14ac:dyDescent="0.3">
      <c r="A4375" t="s">
        <v>12</v>
      </c>
      <c r="B4375">
        <v>4374</v>
      </c>
      <c r="C4375" t="s">
        <v>314</v>
      </c>
      <c r="D4375" t="s">
        <v>30</v>
      </c>
      <c r="E4375">
        <v>2018</v>
      </c>
      <c r="F4375" t="s">
        <v>47</v>
      </c>
      <c r="G4375" t="s">
        <v>23</v>
      </c>
      <c r="H4375" t="s">
        <v>17</v>
      </c>
      <c r="I4375" t="s">
        <v>48</v>
      </c>
      <c r="J4375">
        <v>7.1806045999999998E-2</v>
      </c>
      <c r="L4375">
        <v>186.5924</v>
      </c>
      <c r="M4375">
        <v>3.8</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3.8</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3.8</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3.8</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3.8</v>
      </c>
    </row>
    <row r="4380" spans="1:13" x14ac:dyDescent="0.3">
      <c r="A4380" t="s">
        <v>12</v>
      </c>
      <c r="B4380">
        <v>4379</v>
      </c>
      <c r="C4380" t="s">
        <v>586</v>
      </c>
      <c r="D4380" t="s">
        <v>56</v>
      </c>
      <c r="E4380">
        <v>2018</v>
      </c>
      <c r="F4380" t="s">
        <v>47</v>
      </c>
      <c r="G4380" t="s">
        <v>23</v>
      </c>
      <c r="H4380" t="s">
        <v>17</v>
      </c>
      <c r="I4380" t="s">
        <v>48</v>
      </c>
      <c r="J4380">
        <v>9.6046303999999999E-2</v>
      </c>
      <c r="L4380">
        <v>178.7028</v>
      </c>
      <c r="M4380">
        <v>3.8</v>
      </c>
    </row>
    <row r="4381" spans="1:13" x14ac:dyDescent="0.3">
      <c r="A4381" t="s">
        <v>12</v>
      </c>
      <c r="B4381">
        <v>4380</v>
      </c>
      <c r="C4381" t="s">
        <v>1523</v>
      </c>
      <c r="D4381" t="s">
        <v>56</v>
      </c>
      <c r="E4381">
        <v>2018</v>
      </c>
      <c r="F4381" t="s">
        <v>47</v>
      </c>
      <c r="G4381" t="s">
        <v>23</v>
      </c>
      <c r="H4381" t="s">
        <v>17</v>
      </c>
      <c r="I4381" t="s">
        <v>48</v>
      </c>
      <c r="J4381">
        <v>4.9435597999999997E-2</v>
      </c>
      <c r="L4381">
        <v>209.7586</v>
      </c>
      <c r="M4381">
        <v>3.8</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3.8</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3.8</v>
      </c>
    </row>
    <row r="4384" spans="1:13" x14ac:dyDescent="0.3">
      <c r="A4384" t="s">
        <v>12</v>
      </c>
      <c r="B4384">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197</v>
      </c>
      <c r="D4386" t="s">
        <v>50</v>
      </c>
      <c r="E4386">
        <v>2018</v>
      </c>
      <c r="F4386" t="s">
        <v>47</v>
      </c>
      <c r="G4386" t="s">
        <v>23</v>
      </c>
      <c r="H4386" t="s">
        <v>17</v>
      </c>
      <c r="I4386" t="s">
        <v>48</v>
      </c>
      <c r="J4386">
        <v>0.123111453</v>
      </c>
      <c r="L4386">
        <v>36.987400000000001</v>
      </c>
      <c r="M4386">
        <v>3.7</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3.7</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3.7</v>
      </c>
    </row>
    <row r="4389" spans="1:13" x14ac:dyDescent="0.3">
      <c r="A4389" t="s">
        <v>19</v>
      </c>
      <c r="B4389">
        <v>4388</v>
      </c>
      <c r="C4389" t="s">
        <v>611</v>
      </c>
      <c r="D4389" t="s">
        <v>44</v>
      </c>
      <c r="E4389">
        <v>2018</v>
      </c>
      <c r="F4389" t="s">
        <v>47</v>
      </c>
      <c r="G4389" t="s">
        <v>23</v>
      </c>
      <c r="H4389" t="s">
        <v>17</v>
      </c>
      <c r="I4389" t="s">
        <v>48</v>
      </c>
      <c r="J4389">
        <v>2.8459761E-2</v>
      </c>
      <c r="L4389">
        <v>149.9708</v>
      </c>
      <c r="M4389">
        <v>3.7</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3.7</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3.7</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3.7</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3.7</v>
      </c>
    </row>
    <row r="4395" spans="1:13" x14ac:dyDescent="0.3">
      <c r="A4395" t="s">
        <v>12</v>
      </c>
      <c r="B4395">
        <v>4394</v>
      </c>
      <c r="C4395" t="s">
        <v>1513</v>
      </c>
      <c r="D4395" t="s">
        <v>30</v>
      </c>
      <c r="E4395">
        <v>2018</v>
      </c>
      <c r="F4395" t="s">
        <v>47</v>
      </c>
      <c r="G4395" t="s">
        <v>23</v>
      </c>
      <c r="H4395" t="s">
        <v>17</v>
      </c>
      <c r="I4395" t="s">
        <v>48</v>
      </c>
      <c r="J4395">
        <v>0.101338651</v>
      </c>
      <c r="L4395">
        <v>232.63</v>
      </c>
      <c r="M4395">
        <v>3.7</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3.7</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3.7</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3.7</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3.7</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3.7</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3.7</v>
      </c>
    </row>
    <row r="4435" spans="1:13" x14ac:dyDescent="0.3">
      <c r="A4435" t="s">
        <v>19</v>
      </c>
      <c r="B4435">
        <v>4434</v>
      </c>
      <c r="C4435" t="s">
        <v>85</v>
      </c>
      <c r="D4435" t="s">
        <v>14</v>
      </c>
      <c r="E4435">
        <v>2018</v>
      </c>
      <c r="F4435" t="s">
        <v>140</v>
      </c>
      <c r="G4435" t="s">
        <v>16</v>
      </c>
      <c r="H4435" t="s">
        <v>28</v>
      </c>
      <c r="I4435" t="s">
        <v>42</v>
      </c>
      <c r="J4435">
        <v>0.100493148</v>
      </c>
      <c r="L4435">
        <v>123.1046</v>
      </c>
      <c r="M4435">
        <v>3.7</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3.7</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3.7</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3.7</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3.7</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3.7</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3.7</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3.7</v>
      </c>
    </row>
    <row r="4443" spans="1:13" x14ac:dyDescent="0.3">
      <c r="A4443" t="s">
        <v>19</v>
      </c>
      <c r="B4443">
        <v>4442</v>
      </c>
      <c r="C4443" t="s">
        <v>974</v>
      </c>
      <c r="D4443" t="s">
        <v>34</v>
      </c>
      <c r="E4443">
        <v>2018</v>
      </c>
      <c r="F4443" t="s">
        <v>140</v>
      </c>
      <c r="G4443" t="s">
        <v>16</v>
      </c>
      <c r="H4443" t="s">
        <v>28</v>
      </c>
      <c r="I4443" t="s">
        <v>42</v>
      </c>
      <c r="J4443">
        <v>4.1821227000000002E-2</v>
      </c>
      <c r="L4443">
        <v>107.628</v>
      </c>
      <c r="M4443">
        <v>3.7</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3.7</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3.7</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3.7</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3.7</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3.7</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3.7</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3.7</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3.7</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3.7</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3.7</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3.7</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3.7</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3.7</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3.7</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3.7</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3.7</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3.7</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3.7</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3.7</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3.7</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3.7</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3.7</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3.7</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3.7</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3.7</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3.7</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3.7</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3.7</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3.7</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3.7</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3.7</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3.7</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3.7</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3.7</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3.7</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3.7</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3.7</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3.7</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3.7</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3.7</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3.7</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3.7</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3.7</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3.7</v>
      </c>
    </row>
    <row r="4584" spans="1:13" x14ac:dyDescent="0.3">
      <c r="A4584" t="s">
        <v>19</v>
      </c>
      <c r="B4584">
        <v>4583</v>
      </c>
      <c r="C4584" t="s">
        <v>1564</v>
      </c>
      <c r="D4584" t="s">
        <v>50</v>
      </c>
      <c r="E4584">
        <v>2018</v>
      </c>
      <c r="F4584" t="s">
        <v>47</v>
      </c>
      <c r="G4584" t="s">
        <v>23</v>
      </c>
      <c r="H4584" t="s">
        <v>17</v>
      </c>
      <c r="I4584" t="s">
        <v>48</v>
      </c>
      <c r="J4584">
        <v>7.9904067999999995E-2</v>
      </c>
      <c r="L4584">
        <v>120.044</v>
      </c>
      <c r="M4584">
        <v>3.7</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3.7</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3.7</v>
      </c>
    </row>
    <row r="4587" spans="1:13" x14ac:dyDescent="0.3">
      <c r="A4587" t="s">
        <v>19</v>
      </c>
      <c r="B4587">
        <v>4586</v>
      </c>
      <c r="C4587" t="s">
        <v>394</v>
      </c>
      <c r="D4587" t="s">
        <v>34</v>
      </c>
      <c r="E4587">
        <v>2018</v>
      </c>
      <c r="F4587" t="s">
        <v>47</v>
      </c>
      <c r="G4587" t="s">
        <v>23</v>
      </c>
      <c r="H4587" t="s">
        <v>17</v>
      </c>
      <c r="I4587" t="s">
        <v>48</v>
      </c>
      <c r="J4587">
        <v>3.4286109000000002E-2</v>
      </c>
      <c r="L4587">
        <v>173.1422</v>
      </c>
      <c r="M4587">
        <v>3.7</v>
      </c>
    </row>
    <row r="4588" spans="1:13" x14ac:dyDescent="0.3">
      <c r="A4588" t="s">
        <v>12</v>
      </c>
      <c r="B4588">
        <v>4587</v>
      </c>
      <c r="C4588" t="s">
        <v>137</v>
      </c>
      <c r="D4588" t="s">
        <v>97</v>
      </c>
      <c r="E4588">
        <v>2018</v>
      </c>
      <c r="F4588" t="s">
        <v>47</v>
      </c>
      <c r="G4588" t="s">
        <v>23</v>
      </c>
      <c r="H4588" t="s">
        <v>17</v>
      </c>
      <c r="I4588" t="s">
        <v>48</v>
      </c>
      <c r="J4588">
        <v>0</v>
      </c>
      <c r="L4588">
        <v>75.9328</v>
      </c>
      <c r="M4588">
        <v>3.7</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3.7</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3.7</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3.7</v>
      </c>
    </row>
    <row r="4592" spans="1:13" x14ac:dyDescent="0.3">
      <c r="A4592" t="s">
        <v>12</v>
      </c>
      <c r="B4592">
        <v>4591</v>
      </c>
      <c r="C4592" t="s">
        <v>464</v>
      </c>
      <c r="D4592" t="s">
        <v>50</v>
      </c>
      <c r="E4592">
        <v>2018</v>
      </c>
      <c r="F4592" t="s">
        <v>47</v>
      </c>
      <c r="G4592" t="s">
        <v>23</v>
      </c>
      <c r="H4592" t="s">
        <v>17</v>
      </c>
      <c r="I4592" t="s">
        <v>48</v>
      </c>
      <c r="J4592">
        <v>1.0864186E-2</v>
      </c>
      <c r="L4592">
        <v>185.36080000000001</v>
      </c>
      <c r="M4592">
        <v>3.7</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3.7</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3.7</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3.6</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3.6</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3.6</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3.6</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3.6</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489</v>
      </c>
      <c r="D4610" t="s">
        <v>50</v>
      </c>
      <c r="E4610">
        <v>2018</v>
      </c>
      <c r="F4610" t="s">
        <v>47</v>
      </c>
      <c r="G4610" t="s">
        <v>23</v>
      </c>
      <c r="H4610" t="s">
        <v>17</v>
      </c>
      <c r="I4610" t="s">
        <v>48</v>
      </c>
      <c r="J4610">
        <v>0.122830885</v>
      </c>
      <c r="L4610">
        <v>86.951400000000007</v>
      </c>
      <c r="M4610">
        <v>3.6</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3.6</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3.6</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3.6</v>
      </c>
    </row>
    <row r="4624" spans="1:13" x14ac:dyDescent="0.3">
      <c r="A4624" t="s">
        <v>19</v>
      </c>
      <c r="B4624">
        <v>4623</v>
      </c>
      <c r="C4624" t="s">
        <v>1530</v>
      </c>
      <c r="D4624" t="s">
        <v>66</v>
      </c>
      <c r="E4624">
        <v>2018</v>
      </c>
      <c r="F4624" t="s">
        <v>140</v>
      </c>
      <c r="G4624" t="s">
        <v>16</v>
      </c>
      <c r="H4624" t="s">
        <v>28</v>
      </c>
      <c r="I4624" t="s">
        <v>42</v>
      </c>
      <c r="J4624">
        <v>4.0520753999999999E-2</v>
      </c>
      <c r="L4624">
        <v>153.934</v>
      </c>
      <c r="M4624">
        <v>3.6</v>
      </c>
    </row>
    <row r="4625" spans="1:13" x14ac:dyDescent="0.3">
      <c r="A4625" t="s">
        <v>19</v>
      </c>
      <c r="B4625">
        <v>4624</v>
      </c>
      <c r="C4625" t="s">
        <v>248</v>
      </c>
      <c r="D4625" t="s">
        <v>50</v>
      </c>
      <c r="E4625">
        <v>2018</v>
      </c>
      <c r="F4625" t="s">
        <v>140</v>
      </c>
      <c r="G4625" t="s">
        <v>16</v>
      </c>
      <c r="H4625" t="s">
        <v>28</v>
      </c>
      <c r="I4625" t="s">
        <v>42</v>
      </c>
      <c r="J4625">
        <v>0.160665697</v>
      </c>
      <c r="L4625">
        <v>227.5352</v>
      </c>
      <c r="M4625">
        <v>3.6</v>
      </c>
    </row>
    <row r="4626" spans="1:13" x14ac:dyDescent="0.3">
      <c r="A4626" t="s">
        <v>19</v>
      </c>
      <c r="B4626">
        <v>4625</v>
      </c>
      <c r="C4626" t="s">
        <v>1357</v>
      </c>
      <c r="D4626" t="s">
        <v>50</v>
      </c>
      <c r="E4626">
        <v>2018</v>
      </c>
      <c r="F4626" t="s">
        <v>140</v>
      </c>
      <c r="G4626" t="s">
        <v>16</v>
      </c>
      <c r="H4626" t="s">
        <v>28</v>
      </c>
      <c r="I4626" t="s">
        <v>42</v>
      </c>
      <c r="J4626">
        <v>5.3939315000000002E-2</v>
      </c>
      <c r="L4626">
        <v>52.1008</v>
      </c>
      <c r="M4626">
        <v>3.6</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3.6</v>
      </c>
    </row>
    <row r="4628" spans="1:13" x14ac:dyDescent="0.3">
      <c r="A4628" t="s">
        <v>12</v>
      </c>
      <c r="B4628">
        <v>4627</v>
      </c>
      <c r="C4628" t="s">
        <v>491</v>
      </c>
      <c r="D4628" t="s">
        <v>56</v>
      </c>
      <c r="E4628">
        <v>2018</v>
      </c>
      <c r="F4628" t="s">
        <v>140</v>
      </c>
      <c r="G4628" t="s">
        <v>16</v>
      </c>
      <c r="H4628" t="s">
        <v>28</v>
      </c>
      <c r="I4628" t="s">
        <v>42</v>
      </c>
      <c r="J4628">
        <v>6.4577332000000001E-2</v>
      </c>
      <c r="L4628">
        <v>230.5352</v>
      </c>
      <c r="M4628">
        <v>3.6</v>
      </c>
    </row>
    <row r="4629" spans="1:13" x14ac:dyDescent="0.3">
      <c r="A4629" t="s">
        <v>12</v>
      </c>
      <c r="B4629">
        <v>4628</v>
      </c>
      <c r="C4629" t="s">
        <v>264</v>
      </c>
      <c r="D4629" t="s">
        <v>50</v>
      </c>
      <c r="E4629">
        <v>2018</v>
      </c>
      <c r="F4629" t="s">
        <v>140</v>
      </c>
      <c r="G4629" t="s">
        <v>16</v>
      </c>
      <c r="H4629" t="s">
        <v>28</v>
      </c>
      <c r="I4629" t="s">
        <v>42</v>
      </c>
      <c r="J4629">
        <v>0</v>
      </c>
      <c r="L4629">
        <v>262.89100000000002</v>
      </c>
      <c r="M4629">
        <v>3.6</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3.6</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3.6</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3.6</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3.6</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3.6</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3.6</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3.6</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3.6</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3.6</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3.6</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3.6</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3.6</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3.6</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3.6</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3.6</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3.6</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3.6</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3.6</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3.6</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3.6</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3.6</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3.6</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3.6</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3.6</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3.6</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3.6</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3.6</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3.6</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3.6</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3.6</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3.6</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504</v>
      </c>
      <c r="D4729" t="s">
        <v>69</v>
      </c>
      <c r="E4729">
        <v>2018</v>
      </c>
      <c r="F4729" t="s">
        <v>47</v>
      </c>
      <c r="G4729" t="s">
        <v>23</v>
      </c>
      <c r="H4729" t="s">
        <v>17</v>
      </c>
      <c r="I4729" t="s">
        <v>48</v>
      </c>
      <c r="J4729">
        <v>0</v>
      </c>
      <c r="L4729">
        <v>89.185599999999994</v>
      </c>
      <c r="M4729">
        <v>3.6</v>
      </c>
    </row>
    <row r="4730" spans="1:13" x14ac:dyDescent="0.3">
      <c r="A4730" t="s">
        <v>19</v>
      </c>
      <c r="B4730">
        <v>4729</v>
      </c>
      <c r="C4730" t="s">
        <v>1037</v>
      </c>
      <c r="D4730" t="s">
        <v>69</v>
      </c>
      <c r="E4730">
        <v>2018</v>
      </c>
      <c r="F4730" t="s">
        <v>47</v>
      </c>
      <c r="G4730" t="s">
        <v>23</v>
      </c>
      <c r="H4730" t="s">
        <v>17</v>
      </c>
      <c r="I4730" t="s">
        <v>48</v>
      </c>
      <c r="J4730">
        <v>8.2150144999999994E-2</v>
      </c>
      <c r="L4730">
        <v>192.9504</v>
      </c>
      <c r="M4730">
        <v>3.6</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3.6</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3.6</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3.6</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3.6</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3.6</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3.6</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3.6</v>
      </c>
    </row>
    <row r="4738" spans="1:13" x14ac:dyDescent="0.3">
      <c r="A4738" t="s">
        <v>12</v>
      </c>
      <c r="B4738">
        <v>4737</v>
      </c>
      <c r="C4738" t="s">
        <v>126</v>
      </c>
      <c r="D4738" t="s">
        <v>69</v>
      </c>
      <c r="E4738">
        <v>2018</v>
      </c>
      <c r="F4738" t="s">
        <v>47</v>
      </c>
      <c r="G4738" t="s">
        <v>23</v>
      </c>
      <c r="H4738" t="s">
        <v>17</v>
      </c>
      <c r="I4738" t="s">
        <v>48</v>
      </c>
      <c r="J4738">
        <v>2.9578726E-2</v>
      </c>
      <c r="L4738">
        <v>143.57859999999999</v>
      </c>
      <c r="M4738">
        <v>3.6</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3.6</v>
      </c>
    </row>
    <row r="4740" spans="1:13" x14ac:dyDescent="0.3">
      <c r="A4740" t="s">
        <v>12</v>
      </c>
      <c r="B4740">
        <v>4739</v>
      </c>
      <c r="C4740" t="s">
        <v>1472</v>
      </c>
      <c r="D4740" t="s">
        <v>56</v>
      </c>
      <c r="E4740">
        <v>2018</v>
      </c>
      <c r="F4740" t="s">
        <v>47</v>
      </c>
      <c r="G4740" t="s">
        <v>23</v>
      </c>
      <c r="H4740" t="s">
        <v>17</v>
      </c>
      <c r="I4740" t="s">
        <v>48</v>
      </c>
      <c r="J4740">
        <v>1.7937483000000001E-2</v>
      </c>
      <c r="L4740">
        <v>103.499</v>
      </c>
      <c r="M4740">
        <v>3.6</v>
      </c>
    </row>
    <row r="4741" spans="1:13" x14ac:dyDescent="0.3">
      <c r="A4741" t="s">
        <v>12</v>
      </c>
      <c r="B4741">
        <v>4740</v>
      </c>
      <c r="C4741" t="s">
        <v>840</v>
      </c>
      <c r="D4741" t="s">
        <v>50</v>
      </c>
      <c r="E4741">
        <v>2018</v>
      </c>
      <c r="F4741" t="s">
        <v>47</v>
      </c>
      <c r="G4741" t="s">
        <v>23</v>
      </c>
      <c r="H4741" t="s">
        <v>17</v>
      </c>
      <c r="I4741" t="s">
        <v>48</v>
      </c>
      <c r="J4741">
        <v>5.6328717E-2</v>
      </c>
      <c r="L4741">
        <v>63.916800000000002</v>
      </c>
      <c r="M4741">
        <v>3.6</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3.6</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3.6</v>
      </c>
    </row>
    <row r="4744" spans="1:13" x14ac:dyDescent="0.3">
      <c r="A4744" t="s">
        <v>12</v>
      </c>
      <c r="B4744">
        <v>4743</v>
      </c>
      <c r="C4744" t="s">
        <v>903</v>
      </c>
      <c r="D4744" t="s">
        <v>26</v>
      </c>
      <c r="E4744">
        <v>2018</v>
      </c>
      <c r="F4744" t="s">
        <v>47</v>
      </c>
      <c r="G4744" t="s">
        <v>23</v>
      </c>
      <c r="H4744" t="s">
        <v>17</v>
      </c>
      <c r="I4744" t="s">
        <v>48</v>
      </c>
      <c r="J4744">
        <v>0.13511820199999999</v>
      </c>
      <c r="L4744">
        <v>52.564</v>
      </c>
      <c r="M4744">
        <v>3.6</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3.5</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3.5</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3.5</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3.5</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3.5</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3.5</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3.5</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3.5</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3.5</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3.5</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3.5</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508</v>
      </c>
      <c r="D4785" t="s">
        <v>26</v>
      </c>
      <c r="E4785">
        <v>2018</v>
      </c>
      <c r="F4785" t="s">
        <v>140</v>
      </c>
      <c r="G4785" t="s">
        <v>16</v>
      </c>
      <c r="H4785" t="s">
        <v>28</v>
      </c>
      <c r="I4785" t="s">
        <v>42</v>
      </c>
      <c r="J4785">
        <v>1.2865901000000001E-2</v>
      </c>
      <c r="L4785">
        <v>59.3536</v>
      </c>
      <c r="M4785">
        <v>3.5</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3.5</v>
      </c>
    </row>
    <row r="4787" spans="1:13" x14ac:dyDescent="0.3">
      <c r="A4787" t="s">
        <v>12</v>
      </c>
      <c r="B4787">
        <v>4786</v>
      </c>
      <c r="C4787" t="s">
        <v>887</v>
      </c>
      <c r="D4787" t="s">
        <v>56</v>
      </c>
      <c r="E4787">
        <v>2018</v>
      </c>
      <c r="F4787" t="s">
        <v>140</v>
      </c>
      <c r="G4787" t="s">
        <v>16</v>
      </c>
      <c r="H4787" t="s">
        <v>28</v>
      </c>
      <c r="I4787" t="s">
        <v>42</v>
      </c>
      <c r="J4787">
        <v>0</v>
      </c>
      <c r="L4787">
        <v>98.2042</v>
      </c>
      <c r="M4787">
        <v>3.5</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3.5</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3.5</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3.5</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3.5</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3.5</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3.5</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3.5</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3.5</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3.5</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3.5</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3.5</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3.5</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3.5</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3.5</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3.5</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3.5</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3.5</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3.5</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3.5</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3.5</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3.5</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3.5</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3.5</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3.5</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3.5</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3.5</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3.5</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3.5</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3.5</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3.5</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3.5</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3.5</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v>4897</v>
      </c>
      <c r="C4898" t="s">
        <v>876</v>
      </c>
      <c r="D4898" t="s">
        <v>59</v>
      </c>
      <c r="E4898">
        <v>2018</v>
      </c>
      <c r="F4898" t="s">
        <v>47</v>
      </c>
      <c r="G4898" t="s">
        <v>23</v>
      </c>
      <c r="H4898" t="s">
        <v>17</v>
      </c>
      <c r="I4898" t="s">
        <v>48</v>
      </c>
      <c r="J4898">
        <v>0.105324246</v>
      </c>
      <c r="L4898">
        <v>125.7046</v>
      </c>
      <c r="M4898">
        <v>3.5</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3.5</v>
      </c>
    </row>
    <row r="4900" spans="1:13" x14ac:dyDescent="0.3">
      <c r="A4900" t="s">
        <v>19</v>
      </c>
      <c r="B4900">
        <v>4899</v>
      </c>
      <c r="C4900" t="s">
        <v>829</v>
      </c>
      <c r="D4900" t="s">
        <v>69</v>
      </c>
      <c r="E4900">
        <v>2018</v>
      </c>
      <c r="F4900" t="s">
        <v>47</v>
      </c>
      <c r="G4900" t="s">
        <v>23</v>
      </c>
      <c r="H4900" t="s">
        <v>17</v>
      </c>
      <c r="I4900" t="s">
        <v>48</v>
      </c>
      <c r="J4900">
        <v>0.119371835</v>
      </c>
      <c r="L4900">
        <v>45.2744</v>
      </c>
      <c r="M4900">
        <v>3.5</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3.5</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3.5</v>
      </c>
    </row>
    <row r="4903" spans="1:13" x14ac:dyDescent="0.3">
      <c r="A4903" t="s">
        <v>19</v>
      </c>
      <c r="B4903">
        <v>4902</v>
      </c>
      <c r="C4903" t="s">
        <v>1578</v>
      </c>
      <c r="D4903" t="s">
        <v>14</v>
      </c>
      <c r="E4903">
        <v>2018</v>
      </c>
      <c r="F4903" t="s">
        <v>47</v>
      </c>
      <c r="G4903" t="s">
        <v>23</v>
      </c>
      <c r="H4903" t="s">
        <v>17</v>
      </c>
      <c r="I4903" t="s">
        <v>48</v>
      </c>
      <c r="J4903">
        <v>0</v>
      </c>
      <c r="L4903">
        <v>55.729799999999997</v>
      </c>
      <c r="M4903">
        <v>3.5</v>
      </c>
    </row>
    <row r="4904" spans="1:13" x14ac:dyDescent="0.3">
      <c r="A4904" t="s">
        <v>19</v>
      </c>
      <c r="B4904">
        <v>4903</v>
      </c>
      <c r="C4904" t="s">
        <v>1281</v>
      </c>
      <c r="D4904" t="s">
        <v>14</v>
      </c>
      <c r="E4904">
        <v>2018</v>
      </c>
      <c r="F4904" t="s">
        <v>47</v>
      </c>
      <c r="G4904" t="s">
        <v>23</v>
      </c>
      <c r="H4904" t="s">
        <v>17</v>
      </c>
      <c r="I4904" t="s">
        <v>48</v>
      </c>
      <c r="J4904">
        <v>1.2215675E-2</v>
      </c>
      <c r="L4904">
        <v>162.7894</v>
      </c>
      <c r="M4904">
        <v>3.5</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3.5</v>
      </c>
    </row>
    <row r="4906" spans="1:13" x14ac:dyDescent="0.3">
      <c r="A4906" t="s">
        <v>19</v>
      </c>
      <c r="B4906">
        <v>4905</v>
      </c>
      <c r="C4906" t="s">
        <v>148</v>
      </c>
      <c r="D4906" t="s">
        <v>21</v>
      </c>
      <c r="E4906">
        <v>2018</v>
      </c>
      <c r="F4906" t="s">
        <v>47</v>
      </c>
      <c r="G4906" t="s">
        <v>23</v>
      </c>
      <c r="H4906" t="s">
        <v>17</v>
      </c>
      <c r="I4906" t="s">
        <v>48</v>
      </c>
      <c r="J4906">
        <v>2.5354071999999998E-2</v>
      </c>
      <c r="L4906">
        <v>144.476</v>
      </c>
      <c r="M4906">
        <v>3.5</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3.5</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3.5</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3.5</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3.5</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3.5</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3.5</v>
      </c>
    </row>
    <row r="4913" spans="1:13" x14ac:dyDescent="0.3">
      <c r="A4913" t="s">
        <v>12</v>
      </c>
      <c r="B4913">
        <v>4912</v>
      </c>
      <c r="C4913" t="s">
        <v>1579</v>
      </c>
      <c r="D4913" t="s">
        <v>69</v>
      </c>
      <c r="E4913">
        <v>2018</v>
      </c>
      <c r="F4913" t="s">
        <v>47</v>
      </c>
      <c r="G4913" t="s">
        <v>23</v>
      </c>
      <c r="H4913" t="s">
        <v>17</v>
      </c>
      <c r="I4913" t="s">
        <v>48</v>
      </c>
      <c r="J4913">
        <v>0</v>
      </c>
      <c r="L4913">
        <v>184.26079999999999</v>
      </c>
      <c r="M4913">
        <v>3.5</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3.5</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3.5</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3.4</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3.4</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3.4</v>
      </c>
    </row>
    <row r="4935" spans="1:13" x14ac:dyDescent="0.3">
      <c r="A4935" t="s">
        <v>12</v>
      </c>
      <c r="B4935">
        <v>4934</v>
      </c>
      <c r="C4935" t="s">
        <v>1059</v>
      </c>
      <c r="D4935" t="s">
        <v>50</v>
      </c>
      <c r="E4935">
        <v>2018</v>
      </c>
      <c r="F4935" t="s">
        <v>140</v>
      </c>
      <c r="G4935" t="s">
        <v>16</v>
      </c>
      <c r="H4935" t="s">
        <v>28</v>
      </c>
      <c r="I4935" t="s">
        <v>42</v>
      </c>
      <c r="J4935">
        <v>6.216667E-2</v>
      </c>
      <c r="L4935">
        <v>112.3518</v>
      </c>
      <c r="M4935">
        <v>3.4</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3.4</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3.4</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3.4</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3.4</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3.4</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3.4</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3.4</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3.4</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3.4</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3.4</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3.4</v>
      </c>
    </row>
    <row r="4984" spans="1:13" x14ac:dyDescent="0.3">
      <c r="A4984" t="s">
        <v>19</v>
      </c>
      <c r="B4984">
        <v>4983</v>
      </c>
      <c r="C4984" t="s">
        <v>1399</v>
      </c>
      <c r="D4984" t="s">
        <v>34</v>
      </c>
      <c r="E4984">
        <v>2014</v>
      </c>
      <c r="F4984" t="s">
        <v>31</v>
      </c>
      <c r="G4984" t="s">
        <v>23</v>
      </c>
      <c r="H4984" t="s">
        <v>32</v>
      </c>
      <c r="I4984" t="s">
        <v>18</v>
      </c>
      <c r="J4984">
        <v>0</v>
      </c>
      <c r="K4984">
        <v>16.2</v>
      </c>
      <c r="L4984">
        <v>73.4696</v>
      </c>
      <c r="M4984">
        <v>3.4</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3.4</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3.4</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3.4</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3.4</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3.4</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3.4</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3.4</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3.4</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3.3</v>
      </c>
    </row>
    <row r="5009" spans="1:13" x14ac:dyDescent="0.3">
      <c r="A5009" t="s">
        <v>19</v>
      </c>
      <c r="B5009">
        <v>5008</v>
      </c>
      <c r="C5009" t="s">
        <v>451</v>
      </c>
      <c r="D5009" t="s">
        <v>34</v>
      </c>
      <c r="E5009">
        <v>2018</v>
      </c>
      <c r="F5009" t="s">
        <v>47</v>
      </c>
      <c r="G5009" t="s">
        <v>23</v>
      </c>
      <c r="H5009" t="s">
        <v>17</v>
      </c>
      <c r="I5009" t="s">
        <v>48</v>
      </c>
      <c r="J5009">
        <v>7.0437799999999995E-2</v>
      </c>
      <c r="L5009">
        <v>112.886</v>
      </c>
      <c r="M5009">
        <v>3.3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3.3</v>
      </c>
    </row>
    <row r="5022" spans="1:13" x14ac:dyDescent="0.3">
      <c r="A5022" t="s">
        <v>19</v>
      </c>
      <c r="B5022">
        <v>5021</v>
      </c>
      <c r="C5022" t="s">
        <v>628</v>
      </c>
      <c r="D5022" t="s">
        <v>21</v>
      </c>
      <c r="E5022">
        <v>2018</v>
      </c>
      <c r="F5022" t="s">
        <v>140</v>
      </c>
      <c r="G5022" t="s">
        <v>16</v>
      </c>
      <c r="H5022" t="s">
        <v>28</v>
      </c>
      <c r="I5022" t="s">
        <v>42</v>
      </c>
      <c r="J5022">
        <v>9.1411749E-2</v>
      </c>
      <c r="L5022">
        <v>121.373</v>
      </c>
      <c r="M5022">
        <v>3.3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658</v>
      </c>
      <c r="D5057" t="s">
        <v>50</v>
      </c>
      <c r="E5057">
        <v>2020</v>
      </c>
      <c r="F5057" t="s">
        <v>39</v>
      </c>
      <c r="G5057" t="s">
        <v>36</v>
      </c>
      <c r="H5057" t="s">
        <v>32</v>
      </c>
      <c r="I5057" t="s">
        <v>18</v>
      </c>
      <c r="J5057">
        <v>0</v>
      </c>
      <c r="K5057">
        <v>15.5</v>
      </c>
      <c r="L5057">
        <v>141.547</v>
      </c>
      <c r="M5057">
        <v>3.3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497</v>
      </c>
      <c r="D5112" t="s">
        <v>69</v>
      </c>
      <c r="E5112">
        <v>2018</v>
      </c>
      <c r="F5112" t="s">
        <v>47</v>
      </c>
      <c r="G5112" t="s">
        <v>23</v>
      </c>
      <c r="H5112" t="s">
        <v>17</v>
      </c>
      <c r="I5112" t="s">
        <v>48</v>
      </c>
      <c r="J5112">
        <v>0</v>
      </c>
      <c r="L5112">
        <v>175.30279999999999</v>
      </c>
      <c r="M5112">
        <v>3.3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3.3</v>
      </c>
    </row>
    <row r="5114" spans="1:13" x14ac:dyDescent="0.3">
      <c r="A5114" t="s">
        <v>19</v>
      </c>
      <c r="B5114">
        <v>5113</v>
      </c>
      <c r="C5114" t="s">
        <v>198</v>
      </c>
      <c r="D5114" t="s">
        <v>21</v>
      </c>
      <c r="E5114">
        <v>2018</v>
      </c>
      <c r="F5114" t="s">
        <v>47</v>
      </c>
      <c r="G5114" t="s">
        <v>23</v>
      </c>
      <c r="H5114" t="s">
        <v>17</v>
      </c>
      <c r="I5114" t="s">
        <v>48</v>
      </c>
      <c r="J5114">
        <v>7.9046991999999996E-2</v>
      </c>
      <c r="L5114">
        <v>39.8506</v>
      </c>
      <c r="M5114">
        <v>3.3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3.2</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3.2</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3.2</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3.2</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3.2</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3.2</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3.2</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3.2</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3.2</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3.2</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3.2</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3.2</v>
      </c>
    </row>
    <row r="5170" spans="1:13" x14ac:dyDescent="0.3">
      <c r="A5170" t="s">
        <v>19</v>
      </c>
      <c r="B5170">
        <v>5169</v>
      </c>
      <c r="C5170" t="s">
        <v>670</v>
      </c>
      <c r="D5170" t="s">
        <v>14</v>
      </c>
      <c r="E5170">
        <v>2018</v>
      </c>
      <c r="F5170" t="s">
        <v>47</v>
      </c>
      <c r="G5170" t="s">
        <v>23</v>
      </c>
      <c r="H5170" t="s">
        <v>17</v>
      </c>
      <c r="I5170" t="s">
        <v>48</v>
      </c>
      <c r="J5170">
        <v>0</v>
      </c>
      <c r="L5170">
        <v>255.7988</v>
      </c>
      <c r="M5170">
        <v>3.2</v>
      </c>
    </row>
    <row r="5171" spans="1:13" x14ac:dyDescent="0.3">
      <c r="A5171" t="s">
        <v>12</v>
      </c>
      <c r="B5171">
        <v>5170</v>
      </c>
      <c r="C5171" t="s">
        <v>1424</v>
      </c>
      <c r="D5171" t="s">
        <v>97</v>
      </c>
      <c r="E5171">
        <v>2018</v>
      </c>
      <c r="F5171" t="s">
        <v>47</v>
      </c>
      <c r="G5171" t="s">
        <v>23</v>
      </c>
      <c r="H5171" t="s">
        <v>17</v>
      </c>
      <c r="I5171" t="s">
        <v>48</v>
      </c>
      <c r="J5171">
        <v>6.7175915000000003E-2</v>
      </c>
      <c r="L5171">
        <v>187.124</v>
      </c>
      <c r="M5171">
        <v>3.2</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3.2</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3.2</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3.2</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3.1</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3.1</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3.1</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3.1</v>
      </c>
    </row>
    <row r="5191" spans="1:13" x14ac:dyDescent="0.3">
      <c r="A5191" t="s">
        <v>19</v>
      </c>
      <c r="B5191">
        <v>5190</v>
      </c>
      <c r="C5191" t="s">
        <v>944</v>
      </c>
      <c r="D5191" t="s">
        <v>50</v>
      </c>
      <c r="E5191">
        <v>2018</v>
      </c>
      <c r="F5191" t="s">
        <v>140</v>
      </c>
      <c r="G5191" t="s">
        <v>16</v>
      </c>
      <c r="H5191" t="s">
        <v>28</v>
      </c>
      <c r="I5191" t="s">
        <v>42</v>
      </c>
      <c r="J5191">
        <v>0.18803837200000001</v>
      </c>
      <c r="L5191">
        <v>146.4076</v>
      </c>
      <c r="M5191">
        <v>3.1</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3.1</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3.1</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3.1</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3.1</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3.1</v>
      </c>
    </row>
    <row r="5221" spans="1:13" x14ac:dyDescent="0.3">
      <c r="A5221" t="s">
        <v>12</v>
      </c>
      <c r="B5221">
        <v>5220</v>
      </c>
      <c r="C5221" t="s">
        <v>809</v>
      </c>
      <c r="D5221" t="s">
        <v>14</v>
      </c>
      <c r="E5221">
        <v>2018</v>
      </c>
      <c r="F5221" t="s">
        <v>47</v>
      </c>
      <c r="G5221" t="s">
        <v>23</v>
      </c>
      <c r="H5221" t="s">
        <v>17</v>
      </c>
      <c r="I5221" t="s">
        <v>48</v>
      </c>
      <c r="J5221">
        <v>2.9510313E-2</v>
      </c>
      <c r="L5221">
        <v>141.9838</v>
      </c>
      <c r="M5221">
        <v>3.1</v>
      </c>
    </row>
    <row r="5222" spans="1:13" x14ac:dyDescent="0.3">
      <c r="A5222" t="s">
        <v>12</v>
      </c>
      <c r="B5222">
        <v>5221</v>
      </c>
      <c r="C5222" t="s">
        <v>459</v>
      </c>
      <c r="D5222" t="s">
        <v>56</v>
      </c>
      <c r="E5222">
        <v>2018</v>
      </c>
      <c r="F5222" t="s">
        <v>47</v>
      </c>
      <c r="G5222" t="s">
        <v>23</v>
      </c>
      <c r="H5222" t="s">
        <v>17</v>
      </c>
      <c r="I5222" t="s">
        <v>48</v>
      </c>
      <c r="J5222">
        <v>3.3276066E-2</v>
      </c>
      <c r="L5222">
        <v>153.8314</v>
      </c>
      <c r="M5222">
        <v>3.1</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3.1</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2.9</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v>5420</v>
      </c>
      <c r="C5421" t="s">
        <v>227</v>
      </c>
      <c r="D5421" t="s">
        <v>30</v>
      </c>
      <c r="E5421">
        <v>2018</v>
      </c>
      <c r="F5421" t="s">
        <v>140</v>
      </c>
      <c r="G5421" t="s">
        <v>16</v>
      </c>
      <c r="H5421" t="s">
        <v>28</v>
      </c>
      <c r="I5421" t="s">
        <v>42</v>
      </c>
      <c r="J5421">
        <v>0.21799414</v>
      </c>
      <c r="L5421">
        <v>266.58839999999998</v>
      </c>
      <c r="M5421">
        <v>2.9</v>
      </c>
    </row>
    <row r="5422" spans="1:13" x14ac:dyDescent="0.3">
      <c r="A5422" t="s">
        <v>19</v>
      </c>
      <c r="B5422">
        <v>5421</v>
      </c>
      <c r="C5422" t="s">
        <v>570</v>
      </c>
      <c r="D5422" t="s">
        <v>34</v>
      </c>
      <c r="E5422">
        <v>2018</v>
      </c>
      <c r="F5422" t="s">
        <v>140</v>
      </c>
      <c r="G5422" t="s">
        <v>16</v>
      </c>
      <c r="H5422" t="s">
        <v>28</v>
      </c>
      <c r="I5422" t="s">
        <v>42</v>
      </c>
      <c r="J5422">
        <v>0</v>
      </c>
      <c r="L5422">
        <v>261.291</v>
      </c>
      <c r="M5422">
        <v>2.9</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2.9</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2.9</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2.9</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2.9</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2.9</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2.9</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2.9</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228</v>
      </c>
      <c r="D5439" t="s">
        <v>30</v>
      </c>
      <c r="E5439">
        <v>2018</v>
      </c>
      <c r="F5439" t="s">
        <v>47</v>
      </c>
      <c r="G5439" t="s">
        <v>23</v>
      </c>
      <c r="H5439" t="s">
        <v>17</v>
      </c>
      <c r="I5439" t="s">
        <v>48</v>
      </c>
      <c r="J5439">
        <v>0.135836915</v>
      </c>
      <c r="L5439">
        <v>93.809399999999997</v>
      </c>
      <c r="M5439">
        <v>2.9</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2.9</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2.8</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728</v>
      </c>
      <c r="D5445" t="s">
        <v>30</v>
      </c>
      <c r="E5445">
        <v>2018</v>
      </c>
      <c r="F5445" t="s">
        <v>47</v>
      </c>
      <c r="G5445" t="s">
        <v>23</v>
      </c>
      <c r="H5445" t="s">
        <v>17</v>
      </c>
      <c r="I5445" t="s">
        <v>48</v>
      </c>
      <c r="J5445">
        <v>8.3109454999999999E-2</v>
      </c>
      <c r="L5445">
        <v>195.8426</v>
      </c>
      <c r="M5445">
        <v>2.8</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2.8</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2.8</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2.8</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2.8</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2.8</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2.8</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2.8</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2.8</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2.8</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2.8</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2.8</v>
      </c>
    </row>
    <row r="5483" spans="1:13" x14ac:dyDescent="0.3">
      <c r="A5483" t="s">
        <v>19</v>
      </c>
      <c r="B5483">
        <v>5482</v>
      </c>
      <c r="C5483" t="s">
        <v>859</v>
      </c>
      <c r="D5483" t="s">
        <v>63</v>
      </c>
      <c r="E5483">
        <v>2018</v>
      </c>
      <c r="F5483" t="s">
        <v>47</v>
      </c>
      <c r="G5483" t="s">
        <v>23</v>
      </c>
      <c r="H5483" t="s">
        <v>17</v>
      </c>
      <c r="I5483" t="s">
        <v>48</v>
      </c>
      <c r="J5483">
        <v>7.1628097000000002E-2</v>
      </c>
      <c r="L5483">
        <v>251.904</v>
      </c>
      <c r="M5483">
        <v>2.8</v>
      </c>
    </row>
    <row r="5484" spans="1:13" x14ac:dyDescent="0.3">
      <c r="A5484" t="s">
        <v>19</v>
      </c>
      <c r="B5484">
        <v>5483</v>
      </c>
      <c r="C5484" t="s">
        <v>1087</v>
      </c>
      <c r="D5484" t="s">
        <v>21</v>
      </c>
      <c r="E5484">
        <v>2018</v>
      </c>
      <c r="F5484" t="s">
        <v>47</v>
      </c>
      <c r="G5484" t="s">
        <v>23</v>
      </c>
      <c r="H5484" t="s">
        <v>17</v>
      </c>
      <c r="I5484" t="s">
        <v>48</v>
      </c>
      <c r="J5484">
        <v>0.174336148</v>
      </c>
      <c r="L5484">
        <v>184.0608</v>
      </c>
      <c r="M5484">
        <v>2.8</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2.8</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2.8</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2.8</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2.8</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2.8</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2.7</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2.7</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2.7</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2.7</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2.7</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2.7</v>
      </c>
    </row>
    <row r="5504" spans="1:13" x14ac:dyDescent="0.3">
      <c r="A5504" t="s">
        <v>19</v>
      </c>
      <c r="B5504">
        <v>5503</v>
      </c>
      <c r="C5504" t="s">
        <v>1524</v>
      </c>
      <c r="D5504" t="s">
        <v>44</v>
      </c>
      <c r="E5504">
        <v>2014</v>
      </c>
      <c r="F5504" t="s">
        <v>31</v>
      </c>
      <c r="G5504" t="s">
        <v>23</v>
      </c>
      <c r="H5504" t="s">
        <v>32</v>
      </c>
      <c r="I5504" t="s">
        <v>18</v>
      </c>
      <c r="J5504">
        <v>0</v>
      </c>
      <c r="K5504">
        <v>8.02</v>
      </c>
      <c r="L5504">
        <v>157.7972</v>
      </c>
      <c r="M5504">
        <v>2.7</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2.7</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2.7</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2.6</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2.6</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2.6</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2.6</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1525</v>
      </c>
      <c r="D5538" t="s">
        <v>50</v>
      </c>
      <c r="E5538">
        <v>2018</v>
      </c>
      <c r="F5538" t="s">
        <v>140</v>
      </c>
      <c r="G5538" t="s">
        <v>16</v>
      </c>
      <c r="H5538" t="s">
        <v>28</v>
      </c>
      <c r="I5538" t="s">
        <v>42</v>
      </c>
      <c r="J5538">
        <v>0</v>
      </c>
      <c r="L5538">
        <v>154.53399999999999</v>
      </c>
      <c r="M5538">
        <v>2.5</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2.5</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2.5</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2.5</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2.5</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2.5</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2.5</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2.5</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2.5</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2.5</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2.5</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2.5</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2.5</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2.5</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2.4</v>
      </c>
    </row>
    <row r="5575" spans="1:13" x14ac:dyDescent="0.3">
      <c r="A5575" t="s">
        <v>12</v>
      </c>
      <c r="B5575">
        <v>5574</v>
      </c>
      <c r="C5575" t="s">
        <v>806</v>
      </c>
      <c r="D5575" t="s">
        <v>69</v>
      </c>
      <c r="E5575">
        <v>2018</v>
      </c>
      <c r="F5575" t="s">
        <v>140</v>
      </c>
      <c r="G5575" t="s">
        <v>16</v>
      </c>
      <c r="H5575" t="s">
        <v>28</v>
      </c>
      <c r="I5575" t="s">
        <v>42</v>
      </c>
      <c r="J5575">
        <v>0.29909785900000002</v>
      </c>
      <c r="L5575">
        <v>157.863</v>
      </c>
      <c r="M5575">
        <v>2.4</v>
      </c>
    </row>
    <row r="5576" spans="1:13" x14ac:dyDescent="0.3">
      <c r="A5576" t="s">
        <v>19</v>
      </c>
      <c r="B5576">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2.4</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2.4</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2.4</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2.4</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2.4</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2.2999999999999998</v>
      </c>
    </row>
    <row r="5587" spans="1:13" x14ac:dyDescent="0.3">
      <c r="A5587" t="s">
        <v>19</v>
      </c>
      <c r="B5587">
        <v>5586</v>
      </c>
      <c r="C5587" t="s">
        <v>1551</v>
      </c>
      <c r="D5587" t="s">
        <v>56</v>
      </c>
      <c r="E5587">
        <v>2018</v>
      </c>
      <c r="F5587" t="s">
        <v>140</v>
      </c>
      <c r="G5587" t="s">
        <v>16</v>
      </c>
      <c r="H5587" t="s">
        <v>28</v>
      </c>
      <c r="I5587" t="s">
        <v>42</v>
      </c>
      <c r="J5587">
        <v>0.17230990299999999</v>
      </c>
      <c r="L5587">
        <v>98.2042</v>
      </c>
      <c r="M5587">
        <v>2.2999999999999998</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2.2999999999999998</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2.2999999999999998</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2.2999999999999998</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352</v>
      </c>
      <c r="D5605" t="s">
        <v>63</v>
      </c>
      <c r="E5605">
        <v>2018</v>
      </c>
      <c r="F5605" t="s">
        <v>47</v>
      </c>
      <c r="G5605" t="s">
        <v>23</v>
      </c>
      <c r="H5605" t="s">
        <v>17</v>
      </c>
      <c r="I5605" t="s">
        <v>48</v>
      </c>
      <c r="J5605">
        <v>0</v>
      </c>
      <c r="L5605">
        <v>188.18719999999999</v>
      </c>
      <c r="M5605">
        <v>2.2999999999999998</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2.2999999999999998</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2.2999999999999998</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2.2999999999999998</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2.2999999999999998</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2.2000000000000002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1535</v>
      </c>
      <c r="D5622" t="s">
        <v>26</v>
      </c>
      <c r="E5622">
        <v>2018</v>
      </c>
      <c r="F5622" t="s">
        <v>47</v>
      </c>
      <c r="G5622" t="s">
        <v>23</v>
      </c>
      <c r="H5622" t="s">
        <v>17</v>
      </c>
      <c r="I5622" t="s">
        <v>48</v>
      </c>
      <c r="J5622">
        <v>0</v>
      </c>
      <c r="L5622">
        <v>37.050600000000003</v>
      </c>
      <c r="M5622">
        <v>2.1</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v>5703</v>
      </c>
      <c r="C5704" t="s">
        <v>314</v>
      </c>
      <c r="D5704" t="s">
        <v>30</v>
      </c>
      <c r="E5704">
        <v>2018</v>
      </c>
      <c r="F5704" t="s">
        <v>140</v>
      </c>
      <c r="G5704" t="s">
        <v>16</v>
      </c>
      <c r="H5704" t="s">
        <v>28</v>
      </c>
      <c r="I5704" t="s">
        <v>42</v>
      </c>
      <c r="J5704">
        <v>0.1263349</v>
      </c>
      <c r="L5704">
        <v>184.0924</v>
      </c>
      <c r="M5704">
        <v>1.7</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1.5</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1.5</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1.5</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1.5</v>
      </c>
    </row>
    <row r="5722" spans="1:13" x14ac:dyDescent="0.3">
      <c r="A5722" t="s">
        <v>12</v>
      </c>
      <c r="B5722">
        <v>5721</v>
      </c>
      <c r="C5722" t="s">
        <v>1257</v>
      </c>
      <c r="D5722" t="s">
        <v>26</v>
      </c>
      <c r="E5722">
        <v>2018</v>
      </c>
      <c r="F5722" t="s">
        <v>47</v>
      </c>
      <c r="G5722" t="s">
        <v>23</v>
      </c>
      <c r="H5722" t="s">
        <v>17</v>
      </c>
      <c r="I5722" t="s">
        <v>48</v>
      </c>
      <c r="J5722">
        <v>4.586701E-2</v>
      </c>
      <c r="L5722">
        <v>37.950600000000001</v>
      </c>
      <c r="M5722">
        <v>1.5</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1.4</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Rojalin Nayak</cp:lastModifiedBy>
  <dcterms:created xsi:type="dcterms:W3CDTF">2026-01-28T10:58:25Z</dcterms:created>
  <dcterms:modified xsi:type="dcterms:W3CDTF">2026-04-28T10:28:03Z</dcterms:modified>
</cp:coreProperties>
</file>